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ooperScarbrough-LogNController\Design Files\LogNController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P69" i="1" l="1"/>
  <c r="B66" i="1"/>
  <c r="B67" i="1"/>
  <c r="P64" i="1"/>
  <c r="P65" i="1"/>
  <c r="P63" i="1"/>
  <c r="B63" i="1"/>
  <c r="B64" i="1"/>
  <c r="B65" i="1"/>
  <c r="P68" i="1"/>
  <c r="B62" i="1"/>
  <c r="P62" i="1"/>
  <c r="B68" i="1" l="1"/>
  <c r="P61" i="1"/>
  <c r="B61" i="1"/>
  <c r="P60" i="1"/>
  <c r="B60" i="1"/>
  <c r="P59" i="1"/>
  <c r="B59" i="1"/>
  <c r="P58" i="1"/>
  <c r="B58" i="1"/>
  <c r="P57" i="1"/>
  <c r="B57" i="1"/>
  <c r="P56" i="1"/>
  <c r="B56" i="1"/>
  <c r="P55" i="1"/>
  <c r="B55" i="1"/>
  <c r="P54" i="1"/>
  <c r="B54" i="1"/>
  <c r="P53" i="1"/>
  <c r="B53" i="1"/>
  <c r="P52" i="1"/>
  <c r="B52" i="1"/>
  <c r="P51" i="1"/>
  <c r="B51" i="1"/>
  <c r="P50" i="1"/>
  <c r="B50" i="1"/>
  <c r="P49" i="1"/>
  <c r="B49" i="1"/>
  <c r="P48" i="1"/>
  <c r="B48" i="1"/>
  <c r="P47" i="1"/>
  <c r="B47" i="1"/>
  <c r="P46" i="1"/>
  <c r="B46" i="1"/>
  <c r="P45" i="1"/>
  <c r="B45" i="1"/>
  <c r="P44" i="1"/>
  <c r="B44" i="1"/>
  <c r="P43" i="1"/>
  <c r="B43" i="1"/>
  <c r="P42" i="1"/>
  <c r="B42" i="1"/>
  <c r="P41" i="1"/>
  <c r="B41" i="1"/>
  <c r="P40" i="1"/>
  <c r="B40" i="1"/>
  <c r="P39" i="1"/>
  <c r="B39" i="1"/>
  <c r="P38" i="1"/>
  <c r="B38" i="1"/>
  <c r="P37" i="1"/>
  <c r="B37" i="1"/>
  <c r="P36" i="1"/>
  <c r="B36" i="1"/>
  <c r="P35" i="1"/>
  <c r="B35" i="1"/>
  <c r="P34" i="1"/>
  <c r="B34" i="1"/>
  <c r="P33" i="1"/>
  <c r="B33" i="1"/>
  <c r="P32" i="1"/>
  <c r="B32" i="1"/>
  <c r="P31" i="1"/>
  <c r="B31" i="1"/>
  <c r="P30" i="1"/>
  <c r="B30" i="1"/>
  <c r="P29" i="1"/>
  <c r="B29" i="1"/>
  <c r="P28" i="1"/>
  <c r="B28" i="1"/>
  <c r="P27" i="1"/>
  <c r="B27" i="1"/>
  <c r="P26" i="1"/>
  <c r="B26" i="1"/>
  <c r="P25" i="1"/>
  <c r="B25" i="1"/>
  <c r="P24" i="1"/>
  <c r="B24" i="1"/>
  <c r="P23" i="1"/>
  <c r="B23" i="1"/>
  <c r="P22" i="1"/>
  <c r="B22" i="1"/>
  <c r="P21" i="1"/>
  <c r="B21" i="1"/>
  <c r="P20" i="1"/>
  <c r="B20" i="1"/>
  <c r="P19" i="1"/>
  <c r="B19" i="1"/>
  <c r="P18" i="1"/>
  <c r="B18" i="1"/>
  <c r="P17" i="1"/>
  <c r="B17" i="1"/>
  <c r="P16" i="1"/>
  <c r="B16" i="1"/>
  <c r="P15" i="1"/>
  <c r="B15" i="1"/>
  <c r="P14" i="1"/>
  <c r="B14" i="1"/>
  <c r="P13" i="1"/>
  <c r="B13" i="1"/>
  <c r="P12" i="1"/>
  <c r="B12" i="1"/>
  <c r="P11" i="1"/>
  <c r="B11" i="1"/>
  <c r="P10" i="1"/>
  <c r="B10" i="1"/>
  <c r="P9" i="1" l="1"/>
  <c r="P8" i="1"/>
  <c r="B9" i="1"/>
  <c r="B8" i="1"/>
</calcChain>
</file>

<file path=xl/sharedStrings.xml><?xml version="1.0" encoding="utf-8"?>
<sst xmlns="http://schemas.openxmlformats.org/spreadsheetml/2006/main" count="543" uniqueCount="360">
  <si>
    <t>Component list</t>
  </si>
  <si>
    <t>Project:</t>
  </si>
  <si>
    <t>#</t>
  </si>
  <si>
    <t xml:space="preserve">Total Component Cost </t>
  </si>
  <si>
    <t>Item Type</t>
  </si>
  <si>
    <t>Capacitor</t>
  </si>
  <si>
    <t>Tantalum Capacitor</t>
  </si>
  <si>
    <t>(TVS/ESD)</t>
  </si>
  <si>
    <t>Diode</t>
  </si>
  <si>
    <t>TVS/ESD</t>
  </si>
  <si>
    <t>Fuse</t>
  </si>
  <si>
    <t>Ferrite Bead</t>
  </si>
  <si>
    <t>Terminal Block</t>
  </si>
  <si>
    <t>FFC/FPC Connector</t>
  </si>
  <si>
    <t>Connector</t>
  </si>
  <si>
    <t>USB Connector</t>
  </si>
  <si>
    <t>Male Header</t>
  </si>
  <si>
    <t>Terminal Blocks</t>
  </si>
  <si>
    <t>Relays</t>
  </si>
  <si>
    <t>Relay</t>
  </si>
  <si>
    <t>Inductor</t>
  </si>
  <si>
    <t>Mosfet</t>
  </si>
  <si>
    <t>Resistor</t>
  </si>
  <si>
    <t>Switch</t>
  </si>
  <si>
    <t>Tactile Switche</t>
  </si>
  <si>
    <t>Module</t>
  </si>
  <si>
    <t>IC</t>
  </si>
  <si>
    <t>Varistors</t>
  </si>
  <si>
    <t>Designator</t>
  </si>
  <si>
    <t>C1</t>
  </si>
  <si>
    <t>C2, C4, C7, C10, C12, C14, C15, C16, C17, C21, C22, C23, C24, C25, C26, C27, C28, C29, C30, C31, C32, C33, C34, C35, C36, C37, C38, C39, C40, C41</t>
  </si>
  <si>
    <t>C3, C9</t>
  </si>
  <si>
    <t>C5</t>
  </si>
  <si>
    <t>C6, C11</t>
  </si>
  <si>
    <t>C8, C19</t>
  </si>
  <si>
    <t>C13, C18</t>
  </si>
  <si>
    <t>C20</t>
  </si>
  <si>
    <t>D1</t>
  </si>
  <si>
    <t>D2</t>
  </si>
  <si>
    <t>D3</t>
  </si>
  <si>
    <t>D4</t>
  </si>
  <si>
    <t>D5</t>
  </si>
  <si>
    <t>D6, D7, D8, D9</t>
  </si>
  <si>
    <t>D10, D11, D12, D13, D14, D15, D16</t>
  </si>
  <si>
    <t>F1</t>
  </si>
  <si>
    <t>F2</t>
  </si>
  <si>
    <t>F3, F4, F5, F6</t>
  </si>
  <si>
    <t>FB1</t>
  </si>
  <si>
    <t>J1</t>
  </si>
  <si>
    <t>J2, J4, J15</t>
  </si>
  <si>
    <t>J3</t>
  </si>
  <si>
    <t>J5</t>
  </si>
  <si>
    <t>J6</t>
  </si>
  <si>
    <t>J7</t>
  </si>
  <si>
    <t>J8, J10</t>
  </si>
  <si>
    <t>J9, J11</t>
  </si>
  <si>
    <t>J12</t>
  </si>
  <si>
    <t>J13, J14, J16, J18, J19</t>
  </si>
  <si>
    <t>J17</t>
  </si>
  <si>
    <t>K1, K4, K7</t>
  </si>
  <si>
    <t>K2, K5</t>
  </si>
  <si>
    <t>K3, K6</t>
  </si>
  <si>
    <t>L1</t>
  </si>
  <si>
    <t>Q1, Q2</t>
  </si>
  <si>
    <t>Q3, Q4, Q5, Q6, Q7, Q8, Q9</t>
  </si>
  <si>
    <t>R1, R7, R24, R25, R26, R27, R28, R29, R30, R31, R32, R33, R34, R37, R39, R42, R43, R46, R47, R49, R51, R52</t>
  </si>
  <si>
    <t>R2, R3, R23, R35, R36</t>
  </si>
  <si>
    <t>R4, R5</t>
  </si>
  <si>
    <t>R6</t>
  </si>
  <si>
    <t>R8</t>
  </si>
  <si>
    <t>R9, R16</t>
  </si>
  <si>
    <t>R10, R11, R12, R13, R14, R15, R17, R18, R19, R20, R21, R22</t>
  </si>
  <si>
    <t>R38, R40, R41, R44, R45, R48, R50</t>
  </si>
  <si>
    <t>SW1, SW2</t>
  </si>
  <si>
    <t>SW3, SW4, SW5, SW6, SW7, SW8</t>
  </si>
  <si>
    <t>U1</t>
  </si>
  <si>
    <t>U2</t>
  </si>
  <si>
    <t>U3</t>
  </si>
  <si>
    <t>U4</t>
  </si>
  <si>
    <t>U5, U6</t>
  </si>
  <si>
    <t>U7</t>
  </si>
  <si>
    <t>U8</t>
  </si>
  <si>
    <t>U9</t>
  </si>
  <si>
    <t>VR1</t>
  </si>
  <si>
    <t>Description</t>
  </si>
  <si>
    <t>CAP ALUM POLY 100UF 20% 25V SMD</t>
  </si>
  <si>
    <t>CAP CER 0.1UF 50V X5R 0603</t>
  </si>
  <si>
    <t>47uF 50V 66mA@120Hz ±20% SMD,D6.3xL7.7mm Aluminum Electrolytic Capacitors - SMD ROHS</t>
  </si>
  <si>
    <t>CAP TANT 22UF 10% 16V 1411</t>
  </si>
  <si>
    <t>CAP CER 22UF 10V X5R 0603</t>
  </si>
  <si>
    <t>CAP CER 1UF 50V X5R 0603</t>
  </si>
  <si>
    <t>CAP CER 4.7UF 16V X5R 0603</t>
  </si>
  <si>
    <t>CAP CER 4700PF 1KV X7R 1206</t>
  </si>
  <si>
    <t>50A 600W 12V 7.78V 7V SMB Electrostatic and Surge Protection (TVS/ESD) ROHS</t>
  </si>
  <si>
    <t>18.5A 32.4V 22.2V 20V DO-214AA Electrostatic and Surge Protection (TVS/ESD) ROHS</t>
  </si>
  <si>
    <t>40V 500mV@2A 2A SMA(DO-214AC) Schottky Barrier Diodes (SBD) ROHS</t>
  </si>
  <si>
    <t>DIODE SCHOTTKY 40V 250MA SOD323</t>
  </si>
  <si>
    <t>TVS DIODE 3.6VWM 8.4VC 3X2SON</t>
  </si>
  <si>
    <t>20.1A 19.9V 13.3V 12V SMA(DO-214AC) Electrostatic and Surge Protection (TVS/ESD) ROHS</t>
  </si>
  <si>
    <t>DIODE GEN PURP 100V 300MA SOD123</t>
  </si>
  <si>
    <t>1A Plugin Fuses ROHS</t>
  </si>
  <si>
    <t>6V 1A 50A 1W -40℃~+85℃ 2A 9mΩ 0.5s 80mΩ 0603 Resettable Fuses ROHS</t>
  </si>
  <si>
    <t>9V 200mA 100A 500mA 0805 Resettable Fuses ROHS</t>
  </si>
  <si>
    <t>FERRITE BEAD 120 OHM 0603 1LN</t>
  </si>
  <si>
    <t>1x2P Barrier Block 2 1 16mm -40℃~+105℃ 76A 1kV Black 6~14 Straight pin 16 Plugin,P=16mm Barrier Terminal Blocks ROHS</t>
  </si>
  <si>
    <t>1x2P Midfoot Barrier Block 2 1 13mm 40A -40℃~+105℃ 750V Black 10~18 Straight pin 6 Plugin,P=13mm Barrier Terminal Blocks ROHS</t>
  </si>
  <si>
    <t>M4 Plugin PCB Welding Terminal ROHS</t>
  </si>
  <si>
    <t>SMD,P=0.5mm,Surface Mount，Right Angle</t>
  </si>
  <si>
    <t>1x6P SH 1 1mm 6 SMD,P=1mm Wire To Board / Wire To Wire Connector ROHS</t>
  </si>
  <si>
    <t>5A 1 16P Female Type-C SMD USB Connectors ROHS</t>
  </si>
  <si>
    <t>Gold 250V 3A Straight Square Pins 2.5mm 2P 260℃ 6mm -40℃~+105℃ 3mm 2.54mm Plugin Black Brass 1x2P Plugin,P=2.54mm Pin Headers ROHS</t>
  </si>
  <si>
    <t>TERM BLK 4P SIDE ENT 5.08MM PCB</t>
  </si>
  <si>
    <t>1x2P 18A -40℃~+105℃ 250V Black 12~30 Straight pin 5.08mm 2.5 1 2 Plugin,P=5.08mm Screw terminal ROHS</t>
  </si>
  <si>
    <t>1x2P Midfoot Barrier Block 2 1 7.62mm 24A -40℃~+105℃ 250V Black 12~22 Straight pin 2.5 Plugin,P=7.62mm Barrier Terminal Blocks ROHS</t>
  </si>
  <si>
    <t>1x2P Midfoot Barrier Block 2 1 10mm -40℃~+105℃ 32A 750V Black 12~22 Straight pin 4 Plugin,P=10mm Barrier Terminal Blocks ROHS</t>
  </si>
  <si>
    <t>250V@AC 5V 15A SPDT (1 Form C) Plugin,15.6x19.2mm Power Relays ROHS</t>
  </si>
  <si>
    <t>5V 10A 20A@14VAC SPDT (1 Form C) 5 Plugin,12.4x16mm Power Relays ROHS</t>
  </si>
  <si>
    <t>250V@AC 5V 30A Normal Open:1A(SPST-Normal Open) Plugin,27.6x32mm Power Relays ROHS</t>
  </si>
  <si>
    <t>Fixed Ind 4.7UH 2.8A 105MOHM SMD</t>
  </si>
  <si>
    <t>40V 100mW 100@10mA,1V 200mA 300MHz 300mV@50mA,5mA NPN -55℃~+150℃@(Tj) SOT-723 Bipolar Transistors - BJT ROHS</t>
  </si>
  <si>
    <t>TRANS NPN 40V 0.6A SMD SOT23-3</t>
  </si>
  <si>
    <t>RES SMD 10K Ohm 1% 1/10W 0603</t>
  </si>
  <si>
    <t>RES 4.7K OHM 1% 1/16W 0402</t>
  </si>
  <si>
    <t>RES 5.1K OHM 1% 1/16W 0402</t>
  </si>
  <si>
    <t>RES SMD 1M OHM 1% 1/10W 0603</t>
  </si>
  <si>
    <t>RES 5.1 OHM 5% 1/4W 1206</t>
  </si>
  <si>
    <t>RES 120 OHM 1% 1/10W 0603</t>
  </si>
  <si>
    <t>RES SMD 4.7K OHM 1% 1/10W 0603</t>
  </si>
  <si>
    <t>RES 470 OHM 1% 1/10W 0603</t>
  </si>
  <si>
    <t>No NO 50mA 4.5mm 100000 260gf 12V -30℃~+85℃ 4.5mm 4.3mm Black Round Button Brick nogging SPST SMD Tactile Switches ROHS</t>
  </si>
  <si>
    <t>SWITCH TACTILE SPST-NO 0.05A 24V</t>
  </si>
  <si>
    <t>Power supply module ROHS</t>
  </si>
  <si>
    <t>SOT-223 Linear Voltage Regulators (LDO) ROHS</t>
  </si>
  <si>
    <t>RF TXRX MOD BLUETOOTH U.FL SMD</t>
  </si>
  <si>
    <t>IC LED DRV RGLTR PWM 1.8A SC70-5</t>
  </si>
  <si>
    <t>SOP-8 RS-485/RS-422 ICs ROHS</t>
  </si>
  <si>
    <t>IC ADC 16BIT SIGMA-DELTA 10VSSOP</t>
  </si>
  <si>
    <t>IC TRANSLTR BIDIRECTIONAL 8VSSOP</t>
  </si>
  <si>
    <t>IC XPNDR 1.7MHZ I2C 28SSOP</t>
  </si>
  <si>
    <t>775V 405V 300V 470V Plugin Varistors ROHS</t>
  </si>
  <si>
    <t>Footprint</t>
  </si>
  <si>
    <t>Cap-0603</t>
  </si>
  <si>
    <t>RVT1H470M0607</t>
  </si>
  <si>
    <t>Case-B</t>
  </si>
  <si>
    <t>Cap-1206</t>
  </si>
  <si>
    <t>SMB_</t>
  </si>
  <si>
    <t>SMA</t>
  </si>
  <si>
    <t>SOD-323</t>
  </si>
  <si>
    <t>X2-SON-3(0.6x1.3).</t>
  </si>
  <si>
    <t>SMA Bi Directional</t>
  </si>
  <si>
    <t>SOD-123</t>
  </si>
  <si>
    <t>2010T1A250V</t>
  </si>
  <si>
    <t>fuse-0603</t>
  </si>
  <si>
    <t>Fuse-0805</t>
  </si>
  <si>
    <t>IND-0603 (1608 Metric)</t>
  </si>
  <si>
    <t>KF88SA-16.0-2P</t>
  </si>
  <si>
    <t>KF78C-13.0-2P</t>
  </si>
  <si>
    <t>T44001</t>
  </si>
  <si>
    <t>AFC07-S40ECA-00</t>
  </si>
  <si>
    <t>HDR1X2_</t>
  </si>
  <si>
    <t>DB128L-5.08-2P-BK-S</t>
  </si>
  <si>
    <t>KF28C-7.62-2P</t>
  </si>
  <si>
    <t>KF58C-10.0-2P</t>
  </si>
  <si>
    <t>SRD-05VDC-SL-C</t>
  </si>
  <si>
    <t>SRA-05VDC-CL</t>
  </si>
  <si>
    <t>SLA-05VDC-SL-A</t>
  </si>
  <si>
    <t>MWSA0402S-4R7MT</t>
  </si>
  <si>
    <t>SOT-723</t>
  </si>
  <si>
    <t>SOT-23</t>
  </si>
  <si>
    <t>Res-0603</t>
  </si>
  <si>
    <t>Res-0402</t>
  </si>
  <si>
    <t>Res-1206</t>
  </si>
  <si>
    <t>TS-1109S-C-B</t>
  </si>
  <si>
    <t>B3F-4055</t>
  </si>
  <si>
    <t>LHE10-20D0512-02</t>
  </si>
  <si>
    <t>SOT- 223</t>
  </si>
  <si>
    <t>41-SMD UFL Module</t>
  </si>
  <si>
    <t>SC70-5</t>
  </si>
  <si>
    <t>SOP-8</t>
  </si>
  <si>
    <t>VSSOP-10</t>
  </si>
  <si>
    <t>VSSOP-8(3.1x2.1)</t>
  </si>
  <si>
    <t>SSOP-28-208mil</t>
  </si>
  <si>
    <t>V300LT20AP</t>
  </si>
  <si>
    <t>Manufacturer Part Number</t>
  </si>
  <si>
    <t>25SVPF100M</t>
  </si>
  <si>
    <t>CC0603KRX5R9BB104</t>
  </si>
  <si>
    <t>TAJB226K016RNJ</t>
  </si>
  <si>
    <t>CC0603MRX5R6BB226</t>
  </si>
  <si>
    <t>CL10A105KB8NNNC</t>
  </si>
  <si>
    <t>CC0603KRX5R7BB475</t>
  </si>
  <si>
    <t>CC1206KKX7RCBB472</t>
  </si>
  <si>
    <t>SMBJ7.0A</t>
  </si>
  <si>
    <t>SMBJ20A</t>
  </si>
  <si>
    <t>SS24A</t>
  </si>
  <si>
    <t>NSR0240HT1G</t>
  </si>
  <si>
    <t>ESD122DMYR</t>
  </si>
  <si>
    <t>SMAJ12CA</t>
  </si>
  <si>
    <t>1N4148W-7-F</t>
  </si>
  <si>
    <t>BSMD0603L-100</t>
  </si>
  <si>
    <t>SMD0805P020TF</t>
  </si>
  <si>
    <t>BLM18SG121TN1D</t>
  </si>
  <si>
    <t>C145963</t>
  </si>
  <si>
    <t>TYPE-C-31-M-12</t>
  </si>
  <si>
    <t>X6511WV-02H-C60D30</t>
  </si>
  <si>
    <t>MMBT3904M</t>
  </si>
  <si>
    <t>MMBT2222A-7-F</t>
  </si>
  <si>
    <t>RC0603FR-0710KL</t>
  </si>
  <si>
    <t>RC0402FR-074K7L</t>
  </si>
  <si>
    <t>RC0402FR-075K1L</t>
  </si>
  <si>
    <t>RC0603FR-071ML</t>
  </si>
  <si>
    <t>RC1206JR-075R1L</t>
  </si>
  <si>
    <t>RC0603FR-07120RL</t>
  </si>
  <si>
    <t>RC0603FR-074K7L</t>
  </si>
  <si>
    <t>RC0603FR-07470RL</t>
  </si>
  <si>
    <t>AMS1117-3.3</t>
  </si>
  <si>
    <t>ESP32-S3-WROOM-1U-N16R8</t>
  </si>
  <si>
    <t>TPS61169DCKR</t>
  </si>
  <si>
    <t>SP3485EIM/TR</t>
  </si>
  <si>
    <t>ADS1115IDGSR</t>
  </si>
  <si>
    <t>TXS0102DCUR</t>
  </si>
  <si>
    <t>MCP23017T-E/SS</t>
  </si>
  <si>
    <t>Manufacturer</t>
  </si>
  <si>
    <t>Panasonic</t>
  </si>
  <si>
    <t>Yageo</t>
  </si>
  <si>
    <t>ROQANG</t>
  </si>
  <si>
    <t>Kyocera AVX</t>
  </si>
  <si>
    <t>Samsung</t>
  </si>
  <si>
    <t>Slkor</t>
  </si>
  <si>
    <t>Guangdong Hottech</t>
  </si>
  <si>
    <t>ON Semiconductor</t>
  </si>
  <si>
    <t>Texas Instruments</t>
  </si>
  <si>
    <t>MDD</t>
  </si>
  <si>
    <t>Diodes</t>
  </si>
  <si>
    <t>Walter Elec</t>
  </si>
  <si>
    <t>BHFUSE</t>
  </si>
  <si>
    <t>RUILON</t>
  </si>
  <si>
    <t>Murata</t>
  </si>
  <si>
    <t>CiXi KaiFeng Electronics</t>
  </si>
  <si>
    <t>XFCN</t>
  </si>
  <si>
    <t>Jushuo</t>
  </si>
  <si>
    <t>BOOMELE</t>
  </si>
  <si>
    <t>Korean Hroparts Elec</t>
  </si>
  <si>
    <t>XKB</t>
  </si>
  <si>
    <t>Phoenix Contact</t>
  </si>
  <si>
    <t>DIBO</t>
  </si>
  <si>
    <t>Ningbo Songle Relay</t>
  </si>
  <si>
    <t>Sunlord</t>
  </si>
  <si>
    <t>TECH PUBLIC</t>
  </si>
  <si>
    <t>XKB Connectivity</t>
  </si>
  <si>
    <t>Omron</t>
  </si>
  <si>
    <t>LZTEC</t>
  </si>
  <si>
    <t>GUOXIN JIAPIN SEMICONDUCTOR</t>
  </si>
  <si>
    <t>Espressif Systems</t>
  </si>
  <si>
    <t>HGSEMI</t>
  </si>
  <si>
    <t>Microchip</t>
  </si>
  <si>
    <t>Littelfuse</t>
  </si>
  <si>
    <t>LCSC Part Number</t>
  </si>
  <si>
    <t>C136279</t>
  </si>
  <si>
    <t>C110022</t>
  </si>
  <si>
    <t>C72523</t>
  </si>
  <si>
    <t>C8020</t>
  </si>
  <si>
    <t>C109447</t>
  </si>
  <si>
    <t>C15849</t>
  </si>
  <si>
    <t>C277476</t>
  </si>
  <si>
    <t>C107198</t>
  </si>
  <si>
    <t>C3019967</t>
  </si>
  <si>
    <t>C2760886</t>
  </si>
  <si>
    <t>C2886579</t>
  </si>
  <si>
    <t>C152519</t>
  </si>
  <si>
    <t>C1975871</t>
  </si>
  <si>
    <t>C110042</t>
  </si>
  <si>
    <t>C83528</t>
  </si>
  <si>
    <t>C354900</t>
  </si>
  <si>
    <t>C2757929</t>
  </si>
  <si>
    <t>C20976</t>
  </si>
  <si>
    <t>C113030</t>
  </si>
  <si>
    <t>C707749</t>
  </si>
  <si>
    <t>C707721</t>
  </si>
  <si>
    <t>C262648</t>
  </si>
  <si>
    <t>C165948</t>
  </si>
  <si>
    <t>C706874</t>
  </si>
  <si>
    <t>C430601</t>
  </si>
  <si>
    <t>C707609</t>
  </si>
  <si>
    <t>C707693</t>
  </si>
  <si>
    <t>C35449</t>
  </si>
  <si>
    <t>C99666</t>
  </si>
  <si>
    <t>C250645</t>
  </si>
  <si>
    <t>C408337</t>
  </si>
  <si>
    <t>C2923360</t>
  </si>
  <si>
    <t>C94515</t>
  </si>
  <si>
    <t>C98220</t>
  </si>
  <si>
    <t>C105871</t>
  </si>
  <si>
    <t>C105872</t>
  </si>
  <si>
    <t>C105578</t>
  </si>
  <si>
    <t>C163357</t>
  </si>
  <si>
    <t>C114640</t>
  </si>
  <si>
    <t>C99782</t>
  </si>
  <si>
    <t>C114669</t>
  </si>
  <si>
    <t>C381037</t>
  </si>
  <si>
    <t>C84931</t>
  </si>
  <si>
    <t>C19192878</t>
  </si>
  <si>
    <t>C2992570</t>
  </si>
  <si>
    <t>C3013946</t>
  </si>
  <si>
    <t>C71045</t>
  </si>
  <si>
    <t>C519086</t>
  </si>
  <si>
    <t>C37593</t>
  </si>
  <si>
    <t>C53434</t>
  </si>
  <si>
    <t>C558584</t>
  </si>
  <si>
    <t>C179067</t>
  </si>
  <si>
    <t>100uF</t>
  </si>
  <si>
    <t>100nF</t>
  </si>
  <si>
    <t>47uF</t>
  </si>
  <si>
    <t>22uF</t>
  </si>
  <si>
    <t>1uF</t>
  </si>
  <si>
    <t>4.7uF</t>
  </si>
  <si>
    <t>4.7nF</t>
  </si>
  <si>
    <t>4.7uH</t>
  </si>
  <si>
    <t>10K</t>
  </si>
  <si>
    <t>4.7K</t>
  </si>
  <si>
    <t>5.1K</t>
  </si>
  <si>
    <t>1M</t>
  </si>
  <si>
    <t>5.1R</t>
  </si>
  <si>
    <t>120R</t>
  </si>
  <si>
    <t>470R</t>
  </si>
  <si>
    <t>Quantity</t>
  </si>
  <si>
    <t>Alternate Part Number</t>
  </si>
  <si>
    <t>Value</t>
  </si>
  <si>
    <t xml:space="preserve"> MOQ (1 Boards)</t>
  </si>
  <si>
    <t>Links</t>
  </si>
  <si>
    <t>Unit Cost</t>
  </si>
  <si>
    <t>Total Cost (1 Boards)</t>
  </si>
  <si>
    <t>Remarks</t>
  </si>
  <si>
    <t>-</t>
  </si>
  <si>
    <t>Bill of Materials for Project [LogNController]</t>
  </si>
  <si>
    <t>LogNController</t>
  </si>
  <si>
    <t>C481447</t>
  </si>
  <si>
    <t xml:space="preserve">Terminal </t>
  </si>
  <si>
    <t>C5443561</t>
  </si>
  <si>
    <t>Custom</t>
  </si>
  <si>
    <t>LCSC</t>
  </si>
  <si>
    <t>Peripheral</t>
  </si>
  <si>
    <t>E43RC-I-RS1071-R</t>
  </si>
  <si>
    <t>Focus LCDs</t>
  </si>
  <si>
    <t>Focus LCD</t>
  </si>
  <si>
    <t>LCD Display</t>
  </si>
  <si>
    <t>Double Push Button Swith with Light on Off Start Stop Momentary Buttons 22mm Waterproof for Electrical Powerboard Panel Box 10A</t>
  </si>
  <si>
    <t xml:space="preserve"> LA155-A</t>
  </si>
  <si>
    <t>Push Button</t>
  </si>
  <si>
    <t>Aliexpress</t>
  </si>
  <si>
    <t>Contactor</t>
  </si>
  <si>
    <t>CHINT NXC-50 Contactor 50A  220V Normally open normally closed Kunlun series products</t>
  </si>
  <si>
    <t>NXC-50</t>
  </si>
  <si>
    <t>Breaker</t>
  </si>
  <si>
    <t xml:space="preserve"> GYM9H</t>
  </si>
  <si>
    <t>Oxygen Sensor</t>
  </si>
  <si>
    <t>PH Sensor</t>
  </si>
  <si>
    <t xml:space="preserve">DS380 </t>
  </si>
  <si>
    <t>Disen</t>
  </si>
  <si>
    <t>Supplier Quote Required</t>
  </si>
  <si>
    <t>Digital pH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</si>
</sst>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0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5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7" xfId="0" applyFont="1" applyFill="1" applyBorder="1" applyAlignment="1">
      <alignment vertical="center"/>
    </xf>
    <xf numFmtId="0" fontId="11" fillId="3" borderId="6" xfId="0" applyFont="1" applyFill="1" applyBorder="1" applyAlignment="1">
      <alignment vertical="center"/>
    </xf>
    <xf numFmtId="0" fontId="12" fillId="3" borderId="7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4" fillId="4" borderId="8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 wrapText="1"/>
    </xf>
    <xf numFmtId="165" fontId="15" fillId="2" borderId="9" xfId="0" applyNumberFormat="1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166" fontId="12" fillId="3" borderId="8" xfId="0" quotePrefix="1" applyNumberFormat="1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165" fontId="15" fillId="2" borderId="10" xfId="0" applyNumberFormat="1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10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10" fillId="3" borderId="0" xfId="0" applyFont="1" applyFill="1" applyBorder="1"/>
    <xf numFmtId="0" fontId="10" fillId="3" borderId="7" xfId="0" applyFont="1" applyFill="1" applyBorder="1"/>
    <xf numFmtId="0" fontId="7" fillId="3" borderId="7" xfId="0" applyFont="1" applyFill="1" applyBorder="1"/>
    <xf numFmtId="0" fontId="12" fillId="3" borderId="6" xfId="0" applyFont="1" applyFill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/>
    </xf>
    <xf numFmtId="0" fontId="13" fillId="3" borderId="0" xfId="0" applyFont="1" applyFill="1" applyBorder="1"/>
    <xf numFmtId="0" fontId="8" fillId="3" borderId="0" xfId="0" applyFont="1" applyFill="1" applyBorder="1"/>
    <xf numFmtId="0" fontId="12" fillId="3" borderId="0" xfId="0" applyFont="1" applyFill="1" applyBorder="1" applyAlignment="1">
      <alignment horizontal="center"/>
    </xf>
    <xf numFmtId="0" fontId="12" fillId="3" borderId="7" xfId="0" quotePrefix="1" applyFon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7" fillId="3" borderId="12" xfId="0" applyFont="1" applyFill="1" applyBorder="1" applyAlignment="1" applyProtection="1">
      <alignment horizontal="center" vertical="top"/>
      <protection locked="0"/>
    </xf>
    <xf numFmtId="0" fontId="17" fillId="3" borderId="7" xfId="0" applyFont="1" applyFill="1" applyBorder="1" applyAlignment="1" applyProtection="1">
      <alignment horizontal="center" vertical="top"/>
      <protection locked="0"/>
    </xf>
    <xf numFmtId="0" fontId="6" fillId="2" borderId="4" xfId="0" applyFont="1" applyFill="1" applyBorder="1" applyAlignment="1">
      <alignment vertical="center"/>
    </xf>
    <xf numFmtId="0" fontId="7" fillId="2" borderId="2" xfId="0" applyFont="1" applyFill="1" applyBorder="1"/>
    <xf numFmtId="0" fontId="8" fillId="2" borderId="2" xfId="0" applyFont="1" applyFill="1" applyBorder="1"/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10" fillId="3" borderId="14" xfId="0" applyFont="1" applyFill="1" applyBorder="1"/>
    <xf numFmtId="164" fontId="10" fillId="3" borderId="14" xfId="0" applyNumberFormat="1" applyFont="1" applyFill="1" applyBorder="1" applyAlignment="1">
      <alignment horizontal="left"/>
    </xf>
    <xf numFmtId="0" fontId="13" fillId="3" borderId="14" xfId="0" applyFont="1" applyFill="1" applyBorder="1"/>
    <xf numFmtId="0" fontId="8" fillId="3" borderId="14" xfId="0" applyFont="1" applyFill="1" applyBorder="1"/>
    <xf numFmtId="0" fontId="8" fillId="2" borderId="11" xfId="0" applyFont="1" applyFill="1" applyBorder="1"/>
    <xf numFmtId="0" fontId="18" fillId="2" borderId="9" xfId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1571625</xdr:colOff>
      <xdr:row>1</xdr:row>
      <xdr:rowOff>28575</xdr:rowOff>
    </xdr:from>
    <xdr:to>
      <xdr:col>16</xdr:col>
      <xdr:colOff>1714500</xdr:colOff>
      <xdr:row>5</xdr:row>
      <xdr:rowOff>132458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793325" y="228600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ESD-and-Surge-Protection-TVS-ESD_Texas-Instruments-ESD122DMYR_C1975871.html" TargetMode="External"/><Relationship Id="rId18" Type="http://schemas.openxmlformats.org/officeDocument/2006/relationships/hyperlink" Target="https://www.lcsc.com/product-detail/Resettable-Fuses_RUILON-Shenzhen-Ruilongyuan-Elec-SMD0805P020TF_C20976.html" TargetMode="External"/><Relationship Id="rId26" Type="http://schemas.openxmlformats.org/officeDocument/2006/relationships/hyperlink" Target="https://www.lcsc.com/product-detail/Pin-Headers_XKB-Connection-X6511WV-02H-C60D30_C706874.html" TargetMode="External"/><Relationship Id="rId39" Type="http://schemas.openxmlformats.org/officeDocument/2006/relationships/hyperlink" Target="https://www.lcsc.com/product-detail/Chip-Resistor-Surface-Mount_YAGEO-RC0402FR-075K1L_C105872.html" TargetMode="External"/><Relationship Id="rId21" Type="http://schemas.openxmlformats.org/officeDocument/2006/relationships/hyperlink" Target="https://www.lcsc.com/product-detail/Barrier-Terminal-Blocks_Cixi-Kefa-Elec-KF78C-13-0-2P_C707721.html" TargetMode="External"/><Relationship Id="rId34" Type="http://schemas.openxmlformats.org/officeDocument/2006/relationships/hyperlink" Target="https://www.lcsc.com/product-detail/Power-Inductors_Sunlord-MWSA0402S-4R7MT_C408337.html" TargetMode="External"/><Relationship Id="rId42" Type="http://schemas.openxmlformats.org/officeDocument/2006/relationships/hyperlink" Target="https://www.lcsc.com/product-detail/Chip-Resistor-Surface-Mount_YAGEO-RC0603FR-07120RL_C114640.html" TargetMode="External"/><Relationship Id="rId47" Type="http://schemas.openxmlformats.org/officeDocument/2006/relationships/hyperlink" Target="https://www.lcsc.com/product-detail/Power-supply-module-Power-Supplies_LZTEC-LHE10-20D0512-02_C19192878.html" TargetMode="External"/><Relationship Id="rId50" Type="http://schemas.openxmlformats.org/officeDocument/2006/relationships/hyperlink" Target="https://www.lcsc.com/product-detail/LED-Drivers_Texas-Instruments-TPS61169DCKR_C71045.html" TargetMode="External"/><Relationship Id="rId55" Type="http://schemas.openxmlformats.org/officeDocument/2006/relationships/hyperlink" Target="https://www.lcsc.com/product-detail/Varistors_Littelfuse-V300LT20AP_C179067.html" TargetMode="External"/><Relationship Id="rId63" Type="http://schemas.openxmlformats.org/officeDocument/2006/relationships/drawing" Target="../drawings/drawing1.xml"/><Relationship Id="rId7" Type="http://schemas.openxmlformats.org/officeDocument/2006/relationships/hyperlink" Target="https://www.lcsc.com/product-detail/Multilayer-Ceramic-Capacitors-MLCC-SMD-SMT_YAGEO-CC0603KRX5R7BB475_C277476.html" TargetMode="External"/><Relationship Id="rId2" Type="http://schemas.openxmlformats.org/officeDocument/2006/relationships/hyperlink" Target="https://www.lcsc.com/product-detail/Multilayer-Ceramic-Capacitors-MLCC-SMD-SMT_YAGEO-CC0603KRX5R9BB104_C110022.html" TargetMode="External"/><Relationship Id="rId16" Type="http://schemas.openxmlformats.org/officeDocument/2006/relationships/hyperlink" Target="https://www.lcsc.com/product-detail/Disposable-fuses_Walter-Elec-2010T1A250V_C354900.html" TargetMode="External"/><Relationship Id="rId29" Type="http://schemas.openxmlformats.org/officeDocument/2006/relationships/hyperlink" Target="https://www.lcsc.com/product-detail/Barrier-Terminal-Blocks_Cixi-Kefa-Elec-KF28C-7-62-2P_C707609.html" TargetMode="External"/><Relationship Id="rId11" Type="http://schemas.openxmlformats.org/officeDocument/2006/relationships/hyperlink" Target="https://www.lcsc.com/product-detail/Schottky-Diodes_Guangdong-Hottech-SS24A_C2886579.html" TargetMode="External"/><Relationship Id="rId24" Type="http://schemas.openxmlformats.org/officeDocument/2006/relationships/hyperlink" Target="https://www.lcsc.com/product-detail/Wire-To-Board-Connector_BOOMELE-Boom-Precision-Elec-1-0T-6P_C145963.html" TargetMode="External"/><Relationship Id="rId32" Type="http://schemas.openxmlformats.org/officeDocument/2006/relationships/hyperlink" Target="https://www.lcsc.com/product-detail/Power-Relays_Ningbo-Songle-Relay-SRA-05VDC-CL_C99666.html" TargetMode="External"/><Relationship Id="rId37" Type="http://schemas.openxmlformats.org/officeDocument/2006/relationships/hyperlink" Target="https://www.lcsc.com/product-detail/Chip-Resistor-Surface-Mount_YAGEO-RC0603FR-0710KL_C98220.html" TargetMode="External"/><Relationship Id="rId40" Type="http://schemas.openxmlformats.org/officeDocument/2006/relationships/hyperlink" Target="https://www.lcsc.com/product-detail/Chip-Resistor-Surface-Mount_YAGEO-RC0603FR-071ML_C105578.html" TargetMode="External"/><Relationship Id="rId45" Type="http://schemas.openxmlformats.org/officeDocument/2006/relationships/hyperlink" Target="https://www.lcsc.com/product-detail/Tactile-Switches_XKB-Connection-TS-1109S-C-B_C381037.html" TargetMode="External"/><Relationship Id="rId53" Type="http://schemas.openxmlformats.org/officeDocument/2006/relationships/hyperlink" Target="https://www.lcsc.com/product-detail/Translators-Level-Shifters_Texas-Instruments-TXS0102DCUR_C53434.html" TargetMode="External"/><Relationship Id="rId58" Type="http://schemas.openxmlformats.org/officeDocument/2006/relationships/hyperlink" Target="https://www.aliexpress.com/item/1005007247339055.html" TargetMode="External"/><Relationship Id="rId5" Type="http://schemas.openxmlformats.org/officeDocument/2006/relationships/hyperlink" Target="https://www.lcsc.com/product-detail/Multilayer-Ceramic-Capacitors-MLCC-SMD-SMT_YAGEO-CC0603MRX5R6BB226_C109447.html" TargetMode="External"/><Relationship Id="rId61" Type="http://schemas.openxmlformats.org/officeDocument/2006/relationships/hyperlink" Target="https://disen-sensor.com/product/ph-sensor/" TargetMode="External"/><Relationship Id="rId19" Type="http://schemas.openxmlformats.org/officeDocument/2006/relationships/hyperlink" Target="https://www.lcsc.com/product-detail/Ferrite-Beads_Murata-Electronics-BLM18SG121TN1D_C113030.html" TargetMode="External"/><Relationship Id="rId14" Type="http://schemas.openxmlformats.org/officeDocument/2006/relationships/hyperlink" Target="https://www.lcsc.com/product-detail/ESD-and-Surge-Protection-TVS-ESD_MDD-Microdiode-Semiconductor-SMAJ12CA_C110042.html" TargetMode="External"/><Relationship Id="rId22" Type="http://schemas.openxmlformats.org/officeDocument/2006/relationships/hyperlink" Target="https://www.lcsc.com/product-detail/PCB-Welding-Terminal_XFCN-T44001_C481447.html" TargetMode="External"/><Relationship Id="rId27" Type="http://schemas.openxmlformats.org/officeDocument/2006/relationships/hyperlink" Target="https://www.lcsc.com/product-detail/Screw-Terminal-Blocks_Phoenix-Contact-1715747_C5443561.html" TargetMode="External"/><Relationship Id="rId30" Type="http://schemas.openxmlformats.org/officeDocument/2006/relationships/hyperlink" Target="https://www.lcsc.com/product-detail/Barrier-Terminal-Blocks_Cixi-Kefa-Elec-KF58C-10-0-2P_C707693.html" TargetMode="External"/><Relationship Id="rId35" Type="http://schemas.openxmlformats.org/officeDocument/2006/relationships/hyperlink" Target="https://www.lcsc.com/product-detail/Bipolar-BJT_TECH-PUBLIC-MMBT3904M_C2923360.html" TargetMode="External"/><Relationship Id="rId43" Type="http://schemas.openxmlformats.org/officeDocument/2006/relationships/hyperlink" Target="https://www.lcsc.com/product-detail/Chip-Resistor-Surface-Mount_YAGEO-RC0603FR-074K7L_C99782.html" TargetMode="External"/><Relationship Id="rId48" Type="http://schemas.openxmlformats.org/officeDocument/2006/relationships/hyperlink" Target="https://www.lcsc.com/product-detail/Voltage-Regulators-Linear-Low-Drop-Out-LDO-Regulators_GUOXIN-JIAPIN-SEMICONDUCTOR-AMS1117-3-3_C2992570.html" TargetMode="External"/><Relationship Id="rId56" Type="http://schemas.openxmlformats.org/officeDocument/2006/relationships/hyperlink" Target="https://focuslcds.com/product/e43rc-i-rs1071-r/" TargetMode="External"/><Relationship Id="rId8" Type="http://schemas.openxmlformats.org/officeDocument/2006/relationships/hyperlink" Target="https://www.lcsc.com/product-detail/Multilayer-Ceramic-Capacitors-MLCC-SMD-SMT_YAGEO-CC1206KKX7RCBB472_C107198.html" TargetMode="External"/><Relationship Id="rId51" Type="http://schemas.openxmlformats.org/officeDocument/2006/relationships/hyperlink" Target="https://www.lcsc.com/product-detail/RS-485-RS-422-ICs_HGSEMI-SP3485EIM-TR_C519086.html" TargetMode="External"/><Relationship Id="rId3" Type="http://schemas.openxmlformats.org/officeDocument/2006/relationships/hyperlink" Target="https://www.lcsc.com/product-detail/Aluminum-Electrolytic-Capacitors-SMD_ROQANG-RVT1H470M0607_C72523.html" TargetMode="External"/><Relationship Id="rId12" Type="http://schemas.openxmlformats.org/officeDocument/2006/relationships/hyperlink" Target="https://www.lcsc.com/product-detail/Schottky-Diodes_onsemi-NSR0240HT1G_C152519.html" TargetMode="External"/><Relationship Id="rId17" Type="http://schemas.openxmlformats.org/officeDocument/2006/relationships/hyperlink" Target="https://www.lcsc.com/product-detail/Resettable-Fuses_BHFUSE-BSMD0603L-100_C2757929.html" TargetMode="External"/><Relationship Id="rId25" Type="http://schemas.openxmlformats.org/officeDocument/2006/relationships/hyperlink" Target="https://www.lcsc.com/product-detail/USB-Connectors_Korean-Hroparts-Elec-TYPE-C-31-M-12_C165948.html" TargetMode="External"/><Relationship Id="rId33" Type="http://schemas.openxmlformats.org/officeDocument/2006/relationships/hyperlink" Target="https://www.lcsc.com/product-detail/Power-Relays_Ningbo-Songle-Relay-SLA-05VDC-SL-A_C250645.html" TargetMode="External"/><Relationship Id="rId38" Type="http://schemas.openxmlformats.org/officeDocument/2006/relationships/hyperlink" Target="https://www.lcsc.com/product-detail/Chip-Resistor-Surface-Mount_YAGEO-RC0402FR-074K7L_C105871.html" TargetMode="External"/><Relationship Id="rId46" Type="http://schemas.openxmlformats.org/officeDocument/2006/relationships/hyperlink" Target="https://www.lcsc.com/product-detail/Tactile-Switches_Omron-Electronics-B3F-4055_C84931.html" TargetMode="External"/><Relationship Id="rId59" Type="http://schemas.openxmlformats.org/officeDocument/2006/relationships/hyperlink" Target="https://www.aliexpress.com/item/1005005840205062.html" TargetMode="External"/><Relationship Id="rId20" Type="http://schemas.openxmlformats.org/officeDocument/2006/relationships/hyperlink" Target="https://www.lcsc.com/product-detail/Barrier-Terminal-Blocks_Cixi-Kefa-Elec-KF88SA-16-0-2P_C707749.html" TargetMode="External"/><Relationship Id="rId41" Type="http://schemas.openxmlformats.org/officeDocument/2006/relationships/hyperlink" Target="https://www.lcsc.com/product-detail/Chip-Resistor-Surface-Mount_YAGEO-RC1206JR-075R1L_C163357.html" TargetMode="External"/><Relationship Id="rId54" Type="http://schemas.openxmlformats.org/officeDocument/2006/relationships/hyperlink" Target="https://www.lcsc.com/product-detail/I-O-Expanders_Microchip-Tech-MCP23017T-E-SS_C558584.html" TargetMode="External"/><Relationship Id="rId62" Type="http://schemas.openxmlformats.org/officeDocument/2006/relationships/printerSettings" Target="../printerSettings/printerSettings1.bin"/><Relationship Id="rId1" Type="http://schemas.openxmlformats.org/officeDocument/2006/relationships/hyperlink" Target="https://www.lcsc.com/product-detail/Polymer-Aluminum-Capacitors_PANASONIC-25SVPF100M_C136279.html" TargetMode="External"/><Relationship Id="rId6" Type="http://schemas.openxmlformats.org/officeDocument/2006/relationships/hyperlink" Target="https://www.lcsc.com/product-detail/Multilayer-Ceramic-Capacitors-MLCC-SMD-SMT_Samsung-Electro-Mechanics-CL10A105KB8NNNC_C15849.html" TargetMode="External"/><Relationship Id="rId15" Type="http://schemas.openxmlformats.org/officeDocument/2006/relationships/hyperlink" Target="https://www.lcsc.com/product-detail/Switching-Diodes_Diodes-Incorporated-1N4148W-7-F_C83528.html" TargetMode="External"/><Relationship Id="rId23" Type="http://schemas.openxmlformats.org/officeDocument/2006/relationships/hyperlink" Target="https://www.lcsc.com/product-detail/FFC-FPC-Flat-Flexible-Connector-Assemblies_JUSHUO-AFC07-S40ECA-00_C262648.html" TargetMode="External"/><Relationship Id="rId28" Type="http://schemas.openxmlformats.org/officeDocument/2006/relationships/hyperlink" Target="https://www.lcsc.com/product-detail/Screw-Terminal-Blocks_DORABO-DB128L-5-08-2P-BK-S_C430601.html" TargetMode="External"/><Relationship Id="rId36" Type="http://schemas.openxmlformats.org/officeDocument/2006/relationships/hyperlink" Target="https://www.lcsc.com/product-detail/Bipolar-BJT_Diodes-Incorporated-MMBT2222A-7-F_C94515.html" TargetMode="External"/><Relationship Id="rId49" Type="http://schemas.openxmlformats.org/officeDocument/2006/relationships/hyperlink" Target="https://www.lcsc.com/product-detail/WiFi-Modules_Espressif-Systems-ESP32-S3-WROOM-1U-N16R8_C3013946.html" TargetMode="External"/><Relationship Id="rId57" Type="http://schemas.openxmlformats.org/officeDocument/2006/relationships/hyperlink" Target="https://www.aliexpress.com/item/1005005715503362.html?gatewayAdapt=glo2vnm" TargetMode="External"/><Relationship Id="rId10" Type="http://schemas.openxmlformats.org/officeDocument/2006/relationships/hyperlink" Target="https://www.lcsc.com/product-detail/ESD-and-Surge-Protection-TVS-ESD_Slkor-SLKORMICRO-Elec-SMBJ20A_C2760886.html" TargetMode="External"/><Relationship Id="rId31" Type="http://schemas.openxmlformats.org/officeDocument/2006/relationships/hyperlink" Target="https://www.lcsc.com/product-detail/Power-Relays_Ningbo-Songle-Relay-SRD-05VDC-SL-C_C35449.html" TargetMode="External"/><Relationship Id="rId44" Type="http://schemas.openxmlformats.org/officeDocument/2006/relationships/hyperlink" Target="https://www.lcsc.com/product-detail/Chip-Resistor-Surface-Mount_YAGEO-RC0603FR-07470RL_C114669.html" TargetMode="External"/><Relationship Id="rId52" Type="http://schemas.openxmlformats.org/officeDocument/2006/relationships/hyperlink" Target="https://www.lcsc.com/product-detail/Analog-to-Digital-Converters-ADC_Texas-Instruments-ADS1115IDGSR_C37593.html" TargetMode="External"/><Relationship Id="rId60" Type="http://schemas.openxmlformats.org/officeDocument/2006/relationships/hyperlink" Target="https://disen-sensor.com/product/do-sensor/" TargetMode="External"/><Relationship Id="rId4" Type="http://schemas.openxmlformats.org/officeDocument/2006/relationships/hyperlink" Target="https://www.lcsc.com/product-detail/Tantalum-Capacitors_Kyocera-AVX-TAJB226K016RNJ_C8020.html" TargetMode="External"/><Relationship Id="rId9" Type="http://schemas.openxmlformats.org/officeDocument/2006/relationships/hyperlink" Target="https://www.lcsc.com/product-detail/ESD-and-Surge-Protection-TVS-ESD_Slkor-SLKORMICRO-Elec-SMBJ7-0A_C301996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71"/>
  <sheetViews>
    <sheetView tabSelected="1" topLeftCell="A49" workbookViewId="0">
      <selection activeCell="F75" sqref="F75"/>
    </sheetView>
  </sheetViews>
  <sheetFormatPr defaultRowHeight="15" x14ac:dyDescent="0.25"/>
  <cols>
    <col min="2" max="2" width="3.140625" style="10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5.5703125" bestFit="1" customWidth="1"/>
    <col min="14" max="14" width="8.85546875" customWidth="1"/>
    <col min="15" max="15" width="9.140625" bestFit="1" customWidth="1"/>
    <col min="16" max="16" width="19.28515625" bestFit="1" customWidth="1"/>
    <col min="17" max="17" width="26.28515625" customWidth="1"/>
  </cols>
  <sheetData>
    <row r="1" spans="1:17" ht="15.75" thickBot="1" x14ac:dyDescent="0.3">
      <c r="A1" s="1"/>
      <c r="B1" s="6"/>
      <c r="C1" s="6"/>
      <c r="D1" s="2"/>
      <c r="E1" s="2"/>
      <c r="F1" s="2"/>
      <c r="G1" s="2"/>
      <c r="H1" s="2"/>
      <c r="I1" s="2"/>
      <c r="J1" s="2"/>
      <c r="K1" s="36"/>
      <c r="L1" s="36"/>
      <c r="M1" s="36"/>
      <c r="N1" s="36"/>
      <c r="O1" s="36"/>
      <c r="P1" s="36"/>
      <c r="Q1" s="36"/>
    </row>
    <row r="2" spans="1:17" ht="32.25" thickBot="1" x14ac:dyDescent="0.3">
      <c r="A2" s="1"/>
      <c r="B2" s="7"/>
      <c r="C2" s="12"/>
      <c r="D2" s="4" t="s">
        <v>0</v>
      </c>
      <c r="E2" s="4"/>
      <c r="F2" s="35" t="s">
        <v>333</v>
      </c>
      <c r="G2" s="5"/>
      <c r="H2" s="3"/>
      <c r="I2" s="29"/>
      <c r="J2" s="30"/>
      <c r="K2" s="30"/>
      <c r="L2" s="30"/>
      <c r="M2" s="30"/>
      <c r="N2" s="30"/>
      <c r="O2" s="30"/>
      <c r="P2" s="30"/>
      <c r="Q2" s="39"/>
    </row>
    <row r="3" spans="1:17" ht="16.5" thickBot="1" x14ac:dyDescent="0.3">
      <c r="A3" s="1"/>
      <c r="B3" s="8"/>
      <c r="C3" s="24"/>
      <c r="D3" s="34" t="s">
        <v>1</v>
      </c>
      <c r="E3" s="25"/>
      <c r="F3" s="35" t="s">
        <v>334</v>
      </c>
      <c r="G3" s="27"/>
      <c r="H3" s="28"/>
      <c r="I3" s="26"/>
      <c r="J3" s="22"/>
      <c r="K3" s="22"/>
      <c r="L3" s="22"/>
      <c r="M3" s="22"/>
      <c r="N3" s="22"/>
      <c r="O3" s="22"/>
      <c r="P3" s="22"/>
      <c r="Q3" s="40"/>
    </row>
    <row r="4" spans="1:17" ht="15" customHeight="1" x14ac:dyDescent="0.25">
      <c r="A4" s="1"/>
      <c r="B4" s="8"/>
      <c r="C4" s="24"/>
      <c r="D4" s="25"/>
      <c r="E4" s="25"/>
      <c r="F4" s="23"/>
      <c r="G4" s="26"/>
      <c r="H4" s="22"/>
      <c r="I4" s="26"/>
      <c r="J4" s="22"/>
      <c r="K4" s="22"/>
      <c r="L4" s="22"/>
      <c r="M4" s="22"/>
      <c r="N4" s="22"/>
      <c r="O4" s="22"/>
      <c r="P4" s="22"/>
      <c r="Q4" s="40"/>
    </row>
    <row r="5" spans="1:17" ht="15" customHeight="1" x14ac:dyDescent="0.25">
      <c r="A5" s="1"/>
      <c r="B5" s="9"/>
      <c r="C5" s="31"/>
      <c r="D5" s="32"/>
      <c r="E5" s="32"/>
      <c r="F5" s="23"/>
      <c r="G5" s="32"/>
      <c r="H5" s="33"/>
      <c r="I5" s="32"/>
      <c r="J5" s="33"/>
      <c r="K5" s="33"/>
      <c r="L5" s="33"/>
      <c r="M5" s="33"/>
      <c r="N5" s="33"/>
      <c r="O5" s="33"/>
      <c r="P5" s="33"/>
      <c r="Q5" s="41"/>
    </row>
    <row r="6" spans="1:17" ht="15.75" customHeight="1" thickBot="1" x14ac:dyDescent="0.3">
      <c r="A6" s="1"/>
      <c r="B6" s="42"/>
      <c r="C6" s="43"/>
      <c r="D6" s="44"/>
      <c r="E6" s="44"/>
      <c r="F6" s="45"/>
      <c r="G6" s="46"/>
      <c r="H6" s="47"/>
      <c r="I6" s="46"/>
      <c r="J6" s="47"/>
      <c r="K6" s="47"/>
      <c r="L6" s="47"/>
      <c r="M6" s="47"/>
      <c r="N6" s="47"/>
      <c r="O6" s="47"/>
      <c r="P6" s="47"/>
      <c r="Q6" s="48"/>
    </row>
    <row r="7" spans="1:17" ht="15.75" thickBot="1" x14ac:dyDescent="0.3">
      <c r="A7" s="1"/>
      <c r="B7" s="11" t="s">
        <v>2</v>
      </c>
      <c r="C7" s="11" t="s">
        <v>4</v>
      </c>
      <c r="D7" s="11" t="s">
        <v>28</v>
      </c>
      <c r="E7" s="11" t="s">
        <v>84</v>
      </c>
      <c r="F7" s="11" t="s">
        <v>140</v>
      </c>
      <c r="G7" s="11" t="s">
        <v>183</v>
      </c>
      <c r="H7" s="11" t="s">
        <v>221</v>
      </c>
      <c r="I7" s="11" t="s">
        <v>325</v>
      </c>
      <c r="J7" s="11" t="s">
        <v>256</v>
      </c>
      <c r="K7" s="11" t="s">
        <v>326</v>
      </c>
      <c r="L7" s="11" t="s">
        <v>324</v>
      </c>
      <c r="M7" s="11" t="s">
        <v>327</v>
      </c>
      <c r="N7" s="11" t="s">
        <v>328</v>
      </c>
      <c r="O7" s="11" t="s">
        <v>329</v>
      </c>
      <c r="P7" s="11" t="s">
        <v>330</v>
      </c>
      <c r="Q7" s="11" t="s">
        <v>331</v>
      </c>
    </row>
    <row r="8" spans="1:17" x14ac:dyDescent="0.25">
      <c r="A8" s="1"/>
      <c r="B8" s="15">
        <f>ROW(B8) - ROW($B$7)</f>
        <v>1</v>
      </c>
      <c r="C8" s="20" t="s">
        <v>5</v>
      </c>
      <c r="D8" s="13" t="s">
        <v>29</v>
      </c>
      <c r="E8" s="13" t="s">
        <v>85</v>
      </c>
      <c r="F8" s="13" t="s">
        <v>338</v>
      </c>
      <c r="G8" s="13" t="s">
        <v>184</v>
      </c>
      <c r="H8" s="13" t="s">
        <v>222</v>
      </c>
      <c r="I8" s="13" t="s">
        <v>332</v>
      </c>
      <c r="J8" s="13" t="s">
        <v>257</v>
      </c>
      <c r="K8" s="13" t="s">
        <v>309</v>
      </c>
      <c r="L8" s="13">
        <v>1</v>
      </c>
      <c r="M8" s="13">
        <v>1</v>
      </c>
      <c r="N8" s="49" t="s">
        <v>339</v>
      </c>
      <c r="O8" s="14">
        <v>1.0033000000000001</v>
      </c>
      <c r="P8" s="14">
        <f>O8*M8</f>
        <v>1.0033000000000001</v>
      </c>
      <c r="Q8" s="13"/>
    </row>
    <row r="9" spans="1:17" ht="60" x14ac:dyDescent="0.25">
      <c r="A9" s="1"/>
      <c r="B9" s="16">
        <f t="shared" ref="B9:B67" si="0">ROW(B9) - ROW($B$7)</f>
        <v>2</v>
      </c>
      <c r="C9" s="21" t="s">
        <v>5</v>
      </c>
      <c r="D9" s="18" t="s">
        <v>30</v>
      </c>
      <c r="E9" s="18" t="s">
        <v>86</v>
      </c>
      <c r="F9" s="18" t="s">
        <v>141</v>
      </c>
      <c r="G9" s="18" t="s">
        <v>185</v>
      </c>
      <c r="H9" s="18" t="s">
        <v>223</v>
      </c>
      <c r="I9" s="18"/>
      <c r="J9" s="18" t="s">
        <v>258</v>
      </c>
      <c r="K9" s="18" t="s">
        <v>310</v>
      </c>
      <c r="L9" s="18">
        <v>30</v>
      </c>
      <c r="M9" s="18">
        <v>100</v>
      </c>
      <c r="N9" s="49" t="s">
        <v>339</v>
      </c>
      <c r="O9" s="19">
        <v>3.0000000000000001E-3</v>
      </c>
      <c r="P9" s="19">
        <f t="shared" ref="P9" si="1">O9*M9</f>
        <v>0.3</v>
      </c>
      <c r="Q9" s="18"/>
    </row>
    <row r="10" spans="1:17" ht="36" x14ac:dyDescent="0.25">
      <c r="A10" s="1"/>
      <c r="B10" s="15">
        <f>ROW(B10) - ROW($B$7)</f>
        <v>3</v>
      </c>
      <c r="C10" s="20" t="s">
        <v>5</v>
      </c>
      <c r="D10" s="13" t="s">
        <v>31</v>
      </c>
      <c r="E10" s="13" t="s">
        <v>87</v>
      </c>
      <c r="F10" s="13" t="s">
        <v>338</v>
      </c>
      <c r="G10" s="13" t="s">
        <v>142</v>
      </c>
      <c r="H10" s="13" t="s">
        <v>224</v>
      </c>
      <c r="I10" s="13"/>
      <c r="J10" s="13" t="s">
        <v>259</v>
      </c>
      <c r="K10" s="13" t="s">
        <v>311</v>
      </c>
      <c r="L10" s="13">
        <v>2</v>
      </c>
      <c r="M10" s="13">
        <v>20</v>
      </c>
      <c r="N10" s="49" t="s">
        <v>339</v>
      </c>
      <c r="O10" s="14">
        <v>3.1300000000000001E-2</v>
      </c>
      <c r="P10" s="14">
        <f>O10*M10</f>
        <v>0.626</v>
      </c>
      <c r="Q10" s="13"/>
    </row>
    <row r="11" spans="1:17" x14ac:dyDescent="0.25">
      <c r="A11" s="1"/>
      <c r="B11" s="16">
        <f t="shared" si="0"/>
        <v>4</v>
      </c>
      <c r="C11" s="21" t="s">
        <v>6</v>
      </c>
      <c r="D11" s="18" t="s">
        <v>32</v>
      </c>
      <c r="E11" s="18" t="s">
        <v>88</v>
      </c>
      <c r="F11" s="18" t="s">
        <v>143</v>
      </c>
      <c r="G11" s="18" t="s">
        <v>186</v>
      </c>
      <c r="H11" s="18" t="s">
        <v>225</v>
      </c>
      <c r="I11" s="18"/>
      <c r="J11" s="18" t="s">
        <v>260</v>
      </c>
      <c r="K11" s="18" t="s">
        <v>312</v>
      </c>
      <c r="L11" s="18">
        <v>1</v>
      </c>
      <c r="M11" s="18">
        <v>5</v>
      </c>
      <c r="N11" s="49" t="s">
        <v>339</v>
      </c>
      <c r="O11" s="19">
        <v>0.1206</v>
      </c>
      <c r="P11" s="19">
        <f t="shared" ref="P11" si="2">O11*M11</f>
        <v>0.60299999999999998</v>
      </c>
      <c r="Q11" s="18"/>
    </row>
    <row r="12" spans="1:17" x14ac:dyDescent="0.25">
      <c r="A12" s="1"/>
      <c r="B12" s="15">
        <f>ROW(B12) - ROW($B$7)</f>
        <v>5</v>
      </c>
      <c r="C12" s="20" t="s">
        <v>5</v>
      </c>
      <c r="D12" s="13" t="s">
        <v>33</v>
      </c>
      <c r="E12" s="13" t="s">
        <v>89</v>
      </c>
      <c r="F12" s="13" t="s">
        <v>141</v>
      </c>
      <c r="G12" s="13" t="s">
        <v>187</v>
      </c>
      <c r="H12" s="13" t="s">
        <v>223</v>
      </c>
      <c r="I12" s="13"/>
      <c r="J12" s="13" t="s">
        <v>261</v>
      </c>
      <c r="K12" s="13" t="s">
        <v>312</v>
      </c>
      <c r="L12" s="13">
        <v>2</v>
      </c>
      <c r="M12" s="13">
        <v>10</v>
      </c>
      <c r="N12" s="49" t="s">
        <v>339</v>
      </c>
      <c r="O12" s="14">
        <v>4.1000000000000002E-2</v>
      </c>
      <c r="P12" s="14">
        <f>O12*M12</f>
        <v>0.41000000000000003</v>
      </c>
      <c r="Q12" s="13"/>
    </row>
    <row r="13" spans="1:17" x14ac:dyDescent="0.25">
      <c r="A13" s="1"/>
      <c r="B13" s="16">
        <f t="shared" si="0"/>
        <v>6</v>
      </c>
      <c r="C13" s="21" t="s">
        <v>5</v>
      </c>
      <c r="D13" s="18" t="s">
        <v>34</v>
      </c>
      <c r="E13" s="18" t="s">
        <v>90</v>
      </c>
      <c r="F13" s="18" t="s">
        <v>141</v>
      </c>
      <c r="G13" s="18" t="s">
        <v>188</v>
      </c>
      <c r="H13" s="18" t="s">
        <v>226</v>
      </c>
      <c r="I13" s="18"/>
      <c r="J13" s="18" t="s">
        <v>262</v>
      </c>
      <c r="K13" s="18" t="s">
        <v>313</v>
      </c>
      <c r="L13" s="18">
        <v>2</v>
      </c>
      <c r="M13" s="18">
        <v>100</v>
      </c>
      <c r="N13" s="49" t="s">
        <v>339</v>
      </c>
      <c r="O13" s="19">
        <v>4.4000000000000003E-3</v>
      </c>
      <c r="P13" s="19">
        <f t="shared" ref="P13" si="3">O13*M13</f>
        <v>0.44</v>
      </c>
      <c r="Q13" s="18"/>
    </row>
    <row r="14" spans="1:17" x14ac:dyDescent="0.25">
      <c r="A14" s="1"/>
      <c r="B14" s="15">
        <f>ROW(B14) - ROW($B$7)</f>
        <v>7</v>
      </c>
      <c r="C14" s="20" t="s">
        <v>5</v>
      </c>
      <c r="D14" s="13" t="s">
        <v>35</v>
      </c>
      <c r="E14" s="13" t="s">
        <v>91</v>
      </c>
      <c r="F14" s="13" t="s">
        <v>141</v>
      </c>
      <c r="G14" s="13" t="s">
        <v>189</v>
      </c>
      <c r="H14" s="13" t="s">
        <v>223</v>
      </c>
      <c r="I14" s="13"/>
      <c r="J14" s="13" t="s">
        <v>263</v>
      </c>
      <c r="K14" s="13" t="s">
        <v>314</v>
      </c>
      <c r="L14" s="13">
        <v>2</v>
      </c>
      <c r="M14" s="13">
        <v>20</v>
      </c>
      <c r="N14" s="49" t="s">
        <v>339</v>
      </c>
      <c r="O14" s="14">
        <v>3.5900000000000001E-2</v>
      </c>
      <c r="P14" s="14">
        <f>O14*M14</f>
        <v>0.71799999999999997</v>
      </c>
      <c r="Q14" s="13"/>
    </row>
    <row r="15" spans="1:17" x14ac:dyDescent="0.25">
      <c r="A15" s="1"/>
      <c r="B15" s="16">
        <f t="shared" si="0"/>
        <v>8</v>
      </c>
      <c r="C15" s="21" t="s">
        <v>5</v>
      </c>
      <c r="D15" s="18" t="s">
        <v>36</v>
      </c>
      <c r="E15" s="18" t="s">
        <v>92</v>
      </c>
      <c r="F15" s="18" t="s">
        <v>144</v>
      </c>
      <c r="G15" s="18" t="s">
        <v>190</v>
      </c>
      <c r="H15" s="18" t="s">
        <v>223</v>
      </c>
      <c r="I15" s="18"/>
      <c r="J15" s="18" t="s">
        <v>264</v>
      </c>
      <c r="K15" s="18" t="s">
        <v>315</v>
      </c>
      <c r="L15" s="18">
        <v>1</v>
      </c>
      <c r="M15" s="18">
        <v>50</v>
      </c>
      <c r="N15" s="49" t="s">
        <v>339</v>
      </c>
      <c r="O15" s="19">
        <v>1.6E-2</v>
      </c>
      <c r="P15" s="19">
        <f t="shared" ref="P15" si="4">O15*M15</f>
        <v>0.8</v>
      </c>
      <c r="Q15" s="18"/>
    </row>
    <row r="16" spans="1:17" ht="36" x14ac:dyDescent="0.25">
      <c r="A16" s="1"/>
      <c r="B16" s="15">
        <f>ROW(B16) - ROW($B$7)</f>
        <v>9</v>
      </c>
      <c r="C16" s="20" t="s">
        <v>7</v>
      </c>
      <c r="D16" s="13" t="s">
        <v>37</v>
      </c>
      <c r="E16" s="13" t="s">
        <v>93</v>
      </c>
      <c r="F16" s="13" t="s">
        <v>145</v>
      </c>
      <c r="G16" s="13" t="s">
        <v>191</v>
      </c>
      <c r="H16" s="13" t="s">
        <v>227</v>
      </c>
      <c r="I16" s="13"/>
      <c r="J16" s="13" t="s">
        <v>265</v>
      </c>
      <c r="K16" s="13" t="s">
        <v>332</v>
      </c>
      <c r="L16" s="13">
        <v>1</v>
      </c>
      <c r="M16" s="13">
        <v>10</v>
      </c>
      <c r="N16" s="49" t="s">
        <v>339</v>
      </c>
      <c r="O16" s="14">
        <v>4.2500000000000003E-2</v>
      </c>
      <c r="P16" s="14">
        <f>O16*M16</f>
        <v>0.42500000000000004</v>
      </c>
      <c r="Q16" s="13"/>
    </row>
    <row r="17" spans="1:17" ht="36" x14ac:dyDescent="0.25">
      <c r="A17" s="1"/>
      <c r="B17" s="16">
        <f t="shared" si="0"/>
        <v>10</v>
      </c>
      <c r="C17" s="21" t="s">
        <v>7</v>
      </c>
      <c r="D17" s="18" t="s">
        <v>38</v>
      </c>
      <c r="E17" s="18" t="s">
        <v>94</v>
      </c>
      <c r="F17" s="18" t="s">
        <v>145</v>
      </c>
      <c r="G17" s="18" t="s">
        <v>192</v>
      </c>
      <c r="H17" s="18" t="s">
        <v>227</v>
      </c>
      <c r="I17" s="18"/>
      <c r="J17" s="18" t="s">
        <v>266</v>
      </c>
      <c r="K17" s="18"/>
      <c r="L17" s="18">
        <v>1</v>
      </c>
      <c r="M17" s="18">
        <v>10</v>
      </c>
      <c r="N17" s="49" t="s">
        <v>339</v>
      </c>
      <c r="O17" s="19">
        <v>4.3700000000000003E-2</v>
      </c>
      <c r="P17" s="19">
        <f t="shared" ref="P17" si="5">O17*M17</f>
        <v>0.43700000000000006</v>
      </c>
      <c r="Q17" s="18"/>
    </row>
    <row r="18" spans="1:17" ht="24" x14ac:dyDescent="0.25">
      <c r="A18" s="1"/>
      <c r="B18" s="15">
        <f>ROW(B18) - ROW($B$7)</f>
        <v>11</v>
      </c>
      <c r="C18" s="20"/>
      <c r="D18" s="13" t="s">
        <v>39</v>
      </c>
      <c r="E18" s="13" t="s">
        <v>95</v>
      </c>
      <c r="F18" s="13" t="s">
        <v>146</v>
      </c>
      <c r="G18" s="13" t="s">
        <v>193</v>
      </c>
      <c r="H18" s="13" t="s">
        <v>228</v>
      </c>
      <c r="I18" s="13"/>
      <c r="J18" s="13" t="s">
        <v>267</v>
      </c>
      <c r="K18" s="13"/>
      <c r="L18" s="13">
        <v>1</v>
      </c>
      <c r="M18" s="13">
        <v>20</v>
      </c>
      <c r="N18" s="49" t="s">
        <v>339</v>
      </c>
      <c r="O18" s="14">
        <v>1.8700000000000001E-2</v>
      </c>
      <c r="P18" s="14">
        <f>O18*M18</f>
        <v>0.374</v>
      </c>
      <c r="Q18" s="13"/>
    </row>
    <row r="19" spans="1:17" x14ac:dyDescent="0.25">
      <c r="A19" s="1"/>
      <c r="B19" s="16">
        <f t="shared" si="0"/>
        <v>12</v>
      </c>
      <c r="C19" s="21" t="s">
        <v>8</v>
      </c>
      <c r="D19" s="18" t="s">
        <v>40</v>
      </c>
      <c r="E19" s="18" t="s">
        <v>96</v>
      </c>
      <c r="F19" s="18" t="s">
        <v>147</v>
      </c>
      <c r="G19" s="18" t="s">
        <v>194</v>
      </c>
      <c r="H19" s="18" t="s">
        <v>229</v>
      </c>
      <c r="I19" s="18"/>
      <c r="J19" s="18" t="s">
        <v>268</v>
      </c>
      <c r="K19" s="18"/>
      <c r="L19" s="18">
        <v>1</v>
      </c>
      <c r="M19" s="18">
        <v>10</v>
      </c>
      <c r="N19" s="49" t="s">
        <v>339</v>
      </c>
      <c r="O19" s="19">
        <v>4.9599999999999998E-2</v>
      </c>
      <c r="P19" s="19">
        <f t="shared" ref="P19" si="6">O19*M19</f>
        <v>0.496</v>
      </c>
      <c r="Q19" s="18"/>
    </row>
    <row r="20" spans="1:17" x14ac:dyDescent="0.25">
      <c r="A20" s="1"/>
      <c r="B20" s="15">
        <f>ROW(B20) - ROW($B$7)</f>
        <v>13</v>
      </c>
      <c r="C20" s="20" t="s">
        <v>9</v>
      </c>
      <c r="D20" s="13" t="s">
        <v>41</v>
      </c>
      <c r="E20" s="13" t="s">
        <v>97</v>
      </c>
      <c r="F20" s="13" t="s">
        <v>148</v>
      </c>
      <c r="G20" s="13" t="s">
        <v>195</v>
      </c>
      <c r="H20" s="13" t="s">
        <v>230</v>
      </c>
      <c r="I20" s="13"/>
      <c r="J20" s="13" t="s">
        <v>269</v>
      </c>
      <c r="K20" s="13"/>
      <c r="L20" s="13">
        <v>1</v>
      </c>
      <c r="M20" s="13">
        <v>5</v>
      </c>
      <c r="N20" s="49" t="s">
        <v>339</v>
      </c>
      <c r="O20" s="14">
        <v>0.31759999999999999</v>
      </c>
      <c r="P20" s="14">
        <f>O20*M20</f>
        <v>1.5880000000000001</v>
      </c>
      <c r="Q20" s="13"/>
    </row>
    <row r="21" spans="1:17" ht="36" x14ac:dyDescent="0.25">
      <c r="A21" s="1"/>
      <c r="B21" s="16">
        <f t="shared" si="0"/>
        <v>14</v>
      </c>
      <c r="C21" s="21" t="s">
        <v>7</v>
      </c>
      <c r="D21" s="18" t="s">
        <v>42</v>
      </c>
      <c r="E21" s="18" t="s">
        <v>98</v>
      </c>
      <c r="F21" s="18" t="s">
        <v>149</v>
      </c>
      <c r="G21" s="18" t="s">
        <v>196</v>
      </c>
      <c r="H21" s="18" t="s">
        <v>231</v>
      </c>
      <c r="I21" s="18"/>
      <c r="J21" s="18" t="s">
        <v>270</v>
      </c>
      <c r="K21" s="18"/>
      <c r="L21" s="18">
        <v>4</v>
      </c>
      <c r="M21" s="18">
        <v>20</v>
      </c>
      <c r="N21" s="49" t="s">
        <v>339</v>
      </c>
      <c r="O21" s="19">
        <v>3.2199999999999999E-2</v>
      </c>
      <c r="P21" s="19">
        <f t="shared" ref="P21" si="7">O21*M21</f>
        <v>0.64400000000000002</v>
      </c>
      <c r="Q21" s="18"/>
    </row>
    <row r="22" spans="1:17" x14ac:dyDescent="0.25">
      <c r="A22" s="1"/>
      <c r="B22" s="15">
        <f>ROW(B22) - ROW($B$7)</f>
        <v>15</v>
      </c>
      <c r="C22" s="20" t="s">
        <v>8</v>
      </c>
      <c r="D22" s="13" t="s">
        <v>43</v>
      </c>
      <c r="E22" s="13" t="s">
        <v>99</v>
      </c>
      <c r="F22" s="13" t="s">
        <v>150</v>
      </c>
      <c r="G22" s="13" t="s">
        <v>197</v>
      </c>
      <c r="H22" s="13" t="s">
        <v>232</v>
      </c>
      <c r="I22" s="13"/>
      <c r="J22" s="13" t="s">
        <v>271</v>
      </c>
      <c r="K22" s="13"/>
      <c r="L22" s="13">
        <v>7</v>
      </c>
      <c r="M22" s="13">
        <v>50</v>
      </c>
      <c r="N22" s="49" t="s">
        <v>339</v>
      </c>
      <c r="O22" s="14">
        <v>1.44E-2</v>
      </c>
      <c r="P22" s="14">
        <f>O22*M22</f>
        <v>0.72</v>
      </c>
      <c r="Q22" s="13"/>
    </row>
    <row r="23" spans="1:17" x14ac:dyDescent="0.25">
      <c r="A23" s="1"/>
      <c r="B23" s="16">
        <f t="shared" si="0"/>
        <v>16</v>
      </c>
      <c r="C23" s="21" t="s">
        <v>10</v>
      </c>
      <c r="D23" s="18" t="s">
        <v>44</v>
      </c>
      <c r="E23" s="18" t="s">
        <v>100</v>
      </c>
      <c r="F23" s="18" t="s">
        <v>338</v>
      </c>
      <c r="G23" s="18" t="s">
        <v>151</v>
      </c>
      <c r="H23" s="18" t="s">
        <v>233</v>
      </c>
      <c r="I23" s="18"/>
      <c r="J23" s="18" t="s">
        <v>272</v>
      </c>
      <c r="K23" s="18"/>
      <c r="L23" s="18">
        <v>1</v>
      </c>
      <c r="M23" s="18">
        <v>20</v>
      </c>
      <c r="N23" s="49" t="s">
        <v>339</v>
      </c>
      <c r="O23" s="19">
        <v>3.2000000000000001E-2</v>
      </c>
      <c r="P23" s="19">
        <f t="shared" ref="P23" si="8">O23*M23</f>
        <v>0.64</v>
      </c>
      <c r="Q23" s="18"/>
    </row>
    <row r="24" spans="1:17" ht="24" x14ac:dyDescent="0.25">
      <c r="A24" s="1"/>
      <c r="B24" s="15">
        <f>ROW(B24) - ROW($B$7)</f>
        <v>17</v>
      </c>
      <c r="C24" s="20" t="s">
        <v>10</v>
      </c>
      <c r="D24" s="13" t="s">
        <v>45</v>
      </c>
      <c r="E24" s="13" t="s">
        <v>101</v>
      </c>
      <c r="F24" s="13" t="s">
        <v>152</v>
      </c>
      <c r="G24" s="13" t="s">
        <v>198</v>
      </c>
      <c r="H24" s="13" t="s">
        <v>234</v>
      </c>
      <c r="I24" s="13"/>
      <c r="J24" s="13" t="s">
        <v>273</v>
      </c>
      <c r="K24" s="13"/>
      <c r="L24" s="13">
        <v>1</v>
      </c>
      <c r="M24" s="13">
        <v>5</v>
      </c>
      <c r="N24" s="49" t="s">
        <v>339</v>
      </c>
      <c r="O24" s="14">
        <v>6.7100000000000007E-2</v>
      </c>
      <c r="P24" s="14">
        <f>O24*M24</f>
        <v>0.33550000000000002</v>
      </c>
      <c r="Q24" s="13"/>
    </row>
    <row r="25" spans="1:17" ht="24" x14ac:dyDescent="0.25">
      <c r="A25" s="1"/>
      <c r="B25" s="16">
        <f t="shared" si="0"/>
        <v>18</v>
      </c>
      <c r="C25" s="21" t="s">
        <v>10</v>
      </c>
      <c r="D25" s="18" t="s">
        <v>46</v>
      </c>
      <c r="E25" s="18" t="s">
        <v>102</v>
      </c>
      <c r="F25" s="18" t="s">
        <v>153</v>
      </c>
      <c r="G25" s="18" t="s">
        <v>199</v>
      </c>
      <c r="H25" s="18" t="s">
        <v>235</v>
      </c>
      <c r="I25" s="18"/>
      <c r="J25" s="18" t="s">
        <v>274</v>
      </c>
      <c r="K25" s="18"/>
      <c r="L25" s="18">
        <v>4</v>
      </c>
      <c r="M25" s="18">
        <v>10</v>
      </c>
      <c r="N25" s="49" t="s">
        <v>339</v>
      </c>
      <c r="O25" s="19">
        <v>5.6000000000000001E-2</v>
      </c>
      <c r="P25" s="19">
        <f t="shared" ref="P25" si="9">O25*M25</f>
        <v>0.56000000000000005</v>
      </c>
      <c r="Q25" s="18"/>
    </row>
    <row r="26" spans="1:17" x14ac:dyDescent="0.25">
      <c r="A26" s="1"/>
      <c r="B26" s="15">
        <f>ROW(B26) - ROW($B$7)</f>
        <v>19</v>
      </c>
      <c r="C26" s="20" t="s">
        <v>11</v>
      </c>
      <c r="D26" s="13" t="s">
        <v>47</v>
      </c>
      <c r="E26" s="13" t="s">
        <v>103</v>
      </c>
      <c r="F26" s="13" t="s">
        <v>154</v>
      </c>
      <c r="G26" s="13" t="s">
        <v>200</v>
      </c>
      <c r="H26" s="13" t="s">
        <v>236</v>
      </c>
      <c r="I26" s="13"/>
      <c r="J26" s="13" t="s">
        <v>275</v>
      </c>
      <c r="K26" s="13"/>
      <c r="L26" s="13">
        <v>1</v>
      </c>
      <c r="M26" s="13">
        <v>20</v>
      </c>
      <c r="N26" s="49" t="s">
        <v>339</v>
      </c>
      <c r="O26" s="14">
        <v>2.7799999999999998E-2</v>
      </c>
      <c r="P26" s="14">
        <f>O26*M26</f>
        <v>0.55599999999999994</v>
      </c>
      <c r="Q26" s="13"/>
    </row>
    <row r="27" spans="1:17" ht="48" x14ac:dyDescent="0.25">
      <c r="A27" s="1"/>
      <c r="B27" s="16">
        <f t="shared" si="0"/>
        <v>20</v>
      </c>
      <c r="C27" s="21" t="s">
        <v>12</v>
      </c>
      <c r="D27" s="18" t="s">
        <v>48</v>
      </c>
      <c r="E27" s="18" t="s">
        <v>104</v>
      </c>
      <c r="F27" s="18" t="s">
        <v>338</v>
      </c>
      <c r="G27" s="18" t="s">
        <v>155</v>
      </c>
      <c r="H27" s="18" t="s">
        <v>237</v>
      </c>
      <c r="I27" s="18"/>
      <c r="J27" s="18" t="s">
        <v>276</v>
      </c>
      <c r="K27" s="18"/>
      <c r="L27" s="18">
        <v>1</v>
      </c>
      <c r="M27" s="18">
        <v>1</v>
      </c>
      <c r="N27" s="49" t="s">
        <v>339</v>
      </c>
      <c r="O27" s="19">
        <v>0.66990000000000005</v>
      </c>
      <c r="P27" s="19">
        <f t="shared" ref="P27" si="10">O27*M27</f>
        <v>0.66990000000000005</v>
      </c>
      <c r="Q27" s="18"/>
    </row>
    <row r="28" spans="1:17" ht="48" x14ac:dyDescent="0.25">
      <c r="A28" s="1"/>
      <c r="B28" s="15">
        <f>ROW(B28) - ROW($B$7)</f>
        <v>21</v>
      </c>
      <c r="C28" s="20" t="s">
        <v>12</v>
      </c>
      <c r="D28" s="13" t="s">
        <v>49</v>
      </c>
      <c r="E28" s="13" t="s">
        <v>105</v>
      </c>
      <c r="F28" s="18" t="s">
        <v>338</v>
      </c>
      <c r="G28" s="13" t="s">
        <v>156</v>
      </c>
      <c r="H28" s="13" t="s">
        <v>237</v>
      </c>
      <c r="I28" s="13"/>
      <c r="J28" s="13" t="s">
        <v>277</v>
      </c>
      <c r="K28" s="13"/>
      <c r="L28" s="13">
        <v>3</v>
      </c>
      <c r="M28" s="13">
        <v>3</v>
      </c>
      <c r="N28" s="49" t="s">
        <v>339</v>
      </c>
      <c r="O28" s="14">
        <v>0.3705</v>
      </c>
      <c r="P28" s="14">
        <f>O28*M28</f>
        <v>1.1114999999999999</v>
      </c>
      <c r="Q28" s="13"/>
    </row>
    <row r="29" spans="1:17" ht="24" x14ac:dyDescent="0.25">
      <c r="A29" s="1"/>
      <c r="B29" s="16">
        <f t="shared" si="0"/>
        <v>22</v>
      </c>
      <c r="C29" s="21" t="s">
        <v>336</v>
      </c>
      <c r="D29" s="18" t="s">
        <v>50</v>
      </c>
      <c r="E29" s="18" t="s">
        <v>106</v>
      </c>
      <c r="F29" s="18" t="s">
        <v>338</v>
      </c>
      <c r="G29" s="18" t="s">
        <v>157</v>
      </c>
      <c r="H29" s="18" t="s">
        <v>238</v>
      </c>
      <c r="I29" s="18"/>
      <c r="J29" s="18" t="s">
        <v>335</v>
      </c>
      <c r="K29" s="18"/>
      <c r="L29" s="18">
        <v>1</v>
      </c>
      <c r="M29" s="18">
        <v>5</v>
      </c>
      <c r="N29" s="49" t="s">
        <v>339</v>
      </c>
      <c r="O29" s="19">
        <v>9.5500000000000002E-2</v>
      </c>
      <c r="P29" s="19">
        <f t="shared" ref="P29" si="11">O29*M29</f>
        <v>0.47750000000000004</v>
      </c>
      <c r="Q29" s="18"/>
    </row>
    <row r="30" spans="1:17" ht="24" x14ac:dyDescent="0.25">
      <c r="A30" s="1"/>
      <c r="B30" s="15">
        <f>ROW(B30) - ROW($B$7)</f>
        <v>23</v>
      </c>
      <c r="C30" s="20" t="s">
        <v>13</v>
      </c>
      <c r="D30" s="13" t="s">
        <v>51</v>
      </c>
      <c r="E30" s="13" t="s">
        <v>107</v>
      </c>
      <c r="F30" s="18" t="s">
        <v>338</v>
      </c>
      <c r="G30" s="13" t="s">
        <v>158</v>
      </c>
      <c r="H30" s="13" t="s">
        <v>239</v>
      </c>
      <c r="I30" s="13"/>
      <c r="J30" s="13" t="s">
        <v>278</v>
      </c>
      <c r="K30" s="13"/>
      <c r="L30" s="13">
        <v>1</v>
      </c>
      <c r="M30" s="13">
        <v>5</v>
      </c>
      <c r="N30" s="49" t="s">
        <v>339</v>
      </c>
      <c r="O30" s="14">
        <v>0.1968</v>
      </c>
      <c r="P30" s="14">
        <f>O30*M30</f>
        <v>0.98399999999999999</v>
      </c>
      <c r="Q30" s="13"/>
    </row>
    <row r="31" spans="1:17" ht="24" x14ac:dyDescent="0.25">
      <c r="A31" s="1"/>
      <c r="B31" s="16">
        <f t="shared" si="0"/>
        <v>24</v>
      </c>
      <c r="C31" s="21" t="s">
        <v>14</v>
      </c>
      <c r="D31" s="18" t="s">
        <v>52</v>
      </c>
      <c r="E31" s="18" t="s">
        <v>108</v>
      </c>
      <c r="F31" s="18" t="s">
        <v>338</v>
      </c>
      <c r="G31" s="18" t="s">
        <v>201</v>
      </c>
      <c r="H31" s="18" t="s">
        <v>240</v>
      </c>
      <c r="I31" s="18"/>
      <c r="J31" s="18" t="s">
        <v>201</v>
      </c>
      <c r="K31" s="18"/>
      <c r="L31" s="18">
        <v>1</v>
      </c>
      <c r="M31" s="18">
        <v>12</v>
      </c>
      <c r="N31" s="49" t="s">
        <v>339</v>
      </c>
      <c r="O31" s="19">
        <v>6.2600000000000003E-2</v>
      </c>
      <c r="P31" s="19">
        <f t="shared" ref="P31" si="12">O31*M31</f>
        <v>0.75120000000000009</v>
      </c>
      <c r="Q31" s="18"/>
    </row>
    <row r="32" spans="1:17" ht="24" x14ac:dyDescent="0.25">
      <c r="A32" s="1"/>
      <c r="B32" s="15">
        <f>ROW(B32) - ROW($B$7)</f>
        <v>25</v>
      </c>
      <c r="C32" s="20" t="s">
        <v>15</v>
      </c>
      <c r="D32" s="13" t="s">
        <v>53</v>
      </c>
      <c r="E32" s="13" t="s">
        <v>109</v>
      </c>
      <c r="F32" s="18" t="s">
        <v>338</v>
      </c>
      <c r="G32" s="13" t="s">
        <v>202</v>
      </c>
      <c r="H32" s="13" t="s">
        <v>241</v>
      </c>
      <c r="I32" s="13"/>
      <c r="J32" s="13" t="s">
        <v>279</v>
      </c>
      <c r="K32" s="13"/>
      <c r="L32" s="13">
        <v>1</v>
      </c>
      <c r="M32" s="13">
        <v>5</v>
      </c>
      <c r="N32" s="49" t="s">
        <v>339</v>
      </c>
      <c r="O32" s="14">
        <v>0.1573</v>
      </c>
      <c r="P32" s="14">
        <f>O32*M32</f>
        <v>0.78649999999999998</v>
      </c>
      <c r="Q32" s="13"/>
    </row>
    <row r="33" spans="1:17" ht="48" x14ac:dyDescent="0.25">
      <c r="A33" s="1"/>
      <c r="B33" s="16">
        <f t="shared" si="0"/>
        <v>26</v>
      </c>
      <c r="C33" s="21" t="s">
        <v>16</v>
      </c>
      <c r="D33" s="18" t="s">
        <v>54</v>
      </c>
      <c r="E33" s="18" t="s">
        <v>110</v>
      </c>
      <c r="F33" s="18" t="s">
        <v>159</v>
      </c>
      <c r="G33" s="18" t="s">
        <v>203</v>
      </c>
      <c r="H33" s="18" t="s">
        <v>242</v>
      </c>
      <c r="I33" s="18"/>
      <c r="J33" s="18" t="s">
        <v>280</v>
      </c>
      <c r="K33" s="18"/>
      <c r="L33" s="18">
        <v>2</v>
      </c>
      <c r="M33" s="18">
        <v>20</v>
      </c>
      <c r="N33" s="49" t="s">
        <v>339</v>
      </c>
      <c r="O33" s="19">
        <v>2.64E-2</v>
      </c>
      <c r="P33" s="19">
        <f t="shared" ref="P33" si="13">O33*M33</f>
        <v>0.52800000000000002</v>
      </c>
      <c r="Q33" s="18"/>
    </row>
    <row r="34" spans="1:17" x14ac:dyDescent="0.25">
      <c r="A34" s="1"/>
      <c r="B34" s="15">
        <f>ROW(B34) - ROW($B$7)</f>
        <v>27</v>
      </c>
      <c r="C34" s="20" t="s">
        <v>17</v>
      </c>
      <c r="D34" s="13" t="s">
        <v>55</v>
      </c>
      <c r="E34" s="13" t="s">
        <v>111</v>
      </c>
      <c r="F34" s="13" t="s">
        <v>338</v>
      </c>
      <c r="G34" s="13">
        <v>1715747</v>
      </c>
      <c r="H34" s="13" t="s">
        <v>243</v>
      </c>
      <c r="I34" s="13"/>
      <c r="J34" s="13" t="s">
        <v>337</v>
      </c>
      <c r="K34" s="13"/>
      <c r="L34" s="13">
        <v>2</v>
      </c>
      <c r="M34" s="13">
        <v>2</v>
      </c>
      <c r="N34" s="49" t="s">
        <v>339</v>
      </c>
      <c r="O34" s="14">
        <v>1.3597999999999999</v>
      </c>
      <c r="P34" s="14">
        <f>O34*M34</f>
        <v>2.7195999999999998</v>
      </c>
      <c r="Q34" s="13"/>
    </row>
    <row r="35" spans="1:17" ht="48" x14ac:dyDescent="0.25">
      <c r="A35" s="1"/>
      <c r="B35" s="16">
        <f t="shared" si="0"/>
        <v>28</v>
      </c>
      <c r="C35" s="21" t="s">
        <v>12</v>
      </c>
      <c r="D35" s="18" t="s">
        <v>56</v>
      </c>
      <c r="E35" s="18" t="s">
        <v>112</v>
      </c>
      <c r="F35" s="13" t="s">
        <v>338</v>
      </c>
      <c r="G35" s="18" t="s">
        <v>160</v>
      </c>
      <c r="H35" s="18" t="s">
        <v>244</v>
      </c>
      <c r="I35" s="18"/>
      <c r="J35" s="18" t="s">
        <v>281</v>
      </c>
      <c r="K35" s="18"/>
      <c r="L35" s="18">
        <v>1</v>
      </c>
      <c r="M35" s="18">
        <v>5</v>
      </c>
      <c r="N35" s="49" t="s">
        <v>339</v>
      </c>
      <c r="O35" s="19">
        <v>0.17499999999999999</v>
      </c>
      <c r="P35" s="19">
        <f t="shared" ref="P35" si="14">O35*M35</f>
        <v>0.875</v>
      </c>
      <c r="Q35" s="18"/>
    </row>
    <row r="36" spans="1:17" ht="48" x14ac:dyDescent="0.25">
      <c r="A36" s="1"/>
      <c r="B36" s="15">
        <f>ROW(B36) - ROW($B$7)</f>
        <v>29</v>
      </c>
      <c r="C36" s="20" t="s">
        <v>12</v>
      </c>
      <c r="D36" s="13" t="s">
        <v>57</v>
      </c>
      <c r="E36" s="13" t="s">
        <v>113</v>
      </c>
      <c r="F36" s="13" t="s">
        <v>338</v>
      </c>
      <c r="G36" s="13" t="s">
        <v>161</v>
      </c>
      <c r="H36" s="13" t="s">
        <v>237</v>
      </c>
      <c r="I36" s="13"/>
      <c r="J36" s="13" t="s">
        <v>282</v>
      </c>
      <c r="K36" s="13"/>
      <c r="L36" s="13">
        <v>5</v>
      </c>
      <c r="M36" s="13">
        <v>5</v>
      </c>
      <c r="N36" s="49" t="s">
        <v>339</v>
      </c>
      <c r="O36" s="14">
        <v>0.2102</v>
      </c>
      <c r="P36" s="14">
        <f>O36*M36</f>
        <v>1.0509999999999999</v>
      </c>
      <c r="Q36" s="13"/>
    </row>
    <row r="37" spans="1:17" ht="48" x14ac:dyDescent="0.25">
      <c r="A37" s="1"/>
      <c r="B37" s="16">
        <f t="shared" si="0"/>
        <v>30</v>
      </c>
      <c r="C37" s="21" t="s">
        <v>12</v>
      </c>
      <c r="D37" s="18" t="s">
        <v>58</v>
      </c>
      <c r="E37" s="18" t="s">
        <v>114</v>
      </c>
      <c r="F37" s="13" t="s">
        <v>338</v>
      </c>
      <c r="G37" s="18" t="s">
        <v>162</v>
      </c>
      <c r="H37" s="18" t="s">
        <v>237</v>
      </c>
      <c r="I37" s="18"/>
      <c r="J37" s="18" t="s">
        <v>283</v>
      </c>
      <c r="K37" s="18"/>
      <c r="L37" s="18">
        <v>1</v>
      </c>
      <c r="M37" s="18">
        <v>5</v>
      </c>
      <c r="N37" s="49" t="s">
        <v>339</v>
      </c>
      <c r="O37" s="19">
        <v>0.25509999999999999</v>
      </c>
      <c r="P37" s="19">
        <f t="shared" ref="P37" si="15">O37*M37</f>
        <v>1.2755000000000001</v>
      </c>
      <c r="Q37" s="18"/>
    </row>
    <row r="38" spans="1:17" ht="36" x14ac:dyDescent="0.25">
      <c r="A38" s="1"/>
      <c r="B38" s="15">
        <f>ROW(B38) - ROW($B$7)</f>
        <v>31</v>
      </c>
      <c r="C38" s="20" t="s">
        <v>18</v>
      </c>
      <c r="D38" s="13" t="s">
        <v>59</v>
      </c>
      <c r="E38" s="13" t="s">
        <v>115</v>
      </c>
      <c r="F38" s="13" t="s">
        <v>338</v>
      </c>
      <c r="G38" s="13" t="s">
        <v>163</v>
      </c>
      <c r="H38" s="13" t="s">
        <v>245</v>
      </c>
      <c r="I38" s="13"/>
      <c r="J38" s="13" t="s">
        <v>284</v>
      </c>
      <c r="K38" s="13"/>
      <c r="L38" s="13">
        <v>3</v>
      </c>
      <c r="M38" s="13">
        <v>5</v>
      </c>
      <c r="N38" s="49" t="s">
        <v>339</v>
      </c>
      <c r="O38" s="14">
        <v>0.3175</v>
      </c>
      <c r="P38" s="14">
        <f>O38*M38</f>
        <v>1.5874999999999999</v>
      </c>
      <c r="Q38" s="13"/>
    </row>
    <row r="39" spans="1:17" ht="24" x14ac:dyDescent="0.25">
      <c r="A39" s="1"/>
      <c r="B39" s="16">
        <f t="shared" si="0"/>
        <v>32</v>
      </c>
      <c r="C39" s="21" t="s">
        <v>19</v>
      </c>
      <c r="D39" s="18" t="s">
        <v>60</v>
      </c>
      <c r="E39" s="18" t="s">
        <v>116</v>
      </c>
      <c r="F39" s="13" t="s">
        <v>338</v>
      </c>
      <c r="G39" s="18" t="s">
        <v>164</v>
      </c>
      <c r="H39" s="18" t="s">
        <v>245</v>
      </c>
      <c r="I39" s="18"/>
      <c r="J39" s="18" t="s">
        <v>285</v>
      </c>
      <c r="K39" s="18"/>
      <c r="L39" s="18">
        <v>2</v>
      </c>
      <c r="M39" s="18">
        <v>5</v>
      </c>
      <c r="N39" s="49" t="s">
        <v>339</v>
      </c>
      <c r="O39" s="19">
        <v>0.3231</v>
      </c>
      <c r="P39" s="19">
        <f t="shared" ref="P39" si="16">O39*M39</f>
        <v>1.6154999999999999</v>
      </c>
      <c r="Q39" s="18"/>
    </row>
    <row r="40" spans="1:17" ht="36" x14ac:dyDescent="0.25">
      <c r="A40" s="1"/>
      <c r="B40" s="15">
        <f>ROW(B40) - ROW($B$7)</f>
        <v>33</v>
      </c>
      <c r="C40" s="20" t="s">
        <v>19</v>
      </c>
      <c r="D40" s="13" t="s">
        <v>61</v>
      </c>
      <c r="E40" s="13" t="s">
        <v>117</v>
      </c>
      <c r="F40" s="13" t="s">
        <v>338</v>
      </c>
      <c r="G40" s="13" t="s">
        <v>165</v>
      </c>
      <c r="H40" s="13" t="s">
        <v>245</v>
      </c>
      <c r="I40" s="13"/>
      <c r="J40" s="13" t="s">
        <v>286</v>
      </c>
      <c r="K40" s="13"/>
      <c r="L40" s="13">
        <v>2</v>
      </c>
      <c r="M40" s="13">
        <v>5</v>
      </c>
      <c r="N40" s="49" t="s">
        <v>339</v>
      </c>
      <c r="O40" s="14">
        <v>0.74239999999999995</v>
      </c>
      <c r="P40" s="14">
        <f>O40*M40</f>
        <v>3.7119999999999997</v>
      </c>
      <c r="Q40" s="13"/>
    </row>
    <row r="41" spans="1:17" x14ac:dyDescent="0.25">
      <c r="A41" s="1"/>
      <c r="B41" s="16">
        <f t="shared" si="0"/>
        <v>34</v>
      </c>
      <c r="C41" s="21" t="s">
        <v>20</v>
      </c>
      <c r="D41" s="18" t="s">
        <v>62</v>
      </c>
      <c r="E41" s="18" t="s">
        <v>118</v>
      </c>
      <c r="F41" s="13" t="s">
        <v>338</v>
      </c>
      <c r="G41" s="18" t="s">
        <v>166</v>
      </c>
      <c r="H41" s="18" t="s">
        <v>246</v>
      </c>
      <c r="I41" s="18"/>
      <c r="J41" s="18" t="s">
        <v>287</v>
      </c>
      <c r="K41" s="18" t="s">
        <v>316</v>
      </c>
      <c r="L41" s="18">
        <v>1</v>
      </c>
      <c r="M41" s="18">
        <v>5</v>
      </c>
      <c r="N41" s="49" t="s">
        <v>339</v>
      </c>
      <c r="O41" s="19">
        <v>0.14380000000000001</v>
      </c>
      <c r="P41" s="19">
        <f t="shared" ref="P41" si="17">O41*M41</f>
        <v>0.71900000000000008</v>
      </c>
      <c r="Q41" s="18"/>
    </row>
    <row r="42" spans="1:17" ht="48" x14ac:dyDescent="0.25">
      <c r="A42" s="1"/>
      <c r="B42" s="15">
        <f>ROW(B42) - ROW($B$7)</f>
        <v>35</v>
      </c>
      <c r="C42" s="20" t="s">
        <v>21</v>
      </c>
      <c r="D42" s="13" t="s">
        <v>63</v>
      </c>
      <c r="E42" s="13" t="s">
        <v>119</v>
      </c>
      <c r="F42" s="13" t="s">
        <v>167</v>
      </c>
      <c r="G42" s="13" t="s">
        <v>204</v>
      </c>
      <c r="H42" s="13" t="s">
        <v>247</v>
      </c>
      <c r="I42" s="13"/>
      <c r="J42" s="13" t="s">
        <v>288</v>
      </c>
      <c r="K42" s="13" t="s">
        <v>332</v>
      </c>
      <c r="L42" s="13">
        <v>2</v>
      </c>
      <c r="M42" s="13">
        <v>20</v>
      </c>
      <c r="N42" s="49" t="s">
        <v>339</v>
      </c>
      <c r="O42" s="14">
        <v>3.1300000000000001E-2</v>
      </c>
      <c r="P42" s="14">
        <f>O42*M42</f>
        <v>0.626</v>
      </c>
      <c r="Q42" s="13"/>
    </row>
    <row r="43" spans="1:17" x14ac:dyDescent="0.25">
      <c r="A43" s="1"/>
      <c r="B43" s="16">
        <f t="shared" si="0"/>
        <v>36</v>
      </c>
      <c r="C43" s="21" t="s">
        <v>21</v>
      </c>
      <c r="D43" s="18" t="s">
        <v>64</v>
      </c>
      <c r="E43" s="18" t="s">
        <v>120</v>
      </c>
      <c r="F43" s="18" t="s">
        <v>168</v>
      </c>
      <c r="G43" s="18" t="s">
        <v>205</v>
      </c>
      <c r="H43" s="18" t="s">
        <v>232</v>
      </c>
      <c r="I43" s="18"/>
      <c r="J43" s="18" t="s">
        <v>289</v>
      </c>
      <c r="K43" s="18" t="s">
        <v>332</v>
      </c>
      <c r="L43" s="18">
        <v>7</v>
      </c>
      <c r="M43" s="18">
        <v>20</v>
      </c>
      <c r="N43" s="49" t="s">
        <v>339</v>
      </c>
      <c r="O43" s="19">
        <v>2.4500000000000001E-2</v>
      </c>
      <c r="P43" s="19">
        <f t="shared" ref="P43" si="18">O43*M43</f>
        <v>0.49</v>
      </c>
      <c r="Q43" s="18"/>
    </row>
    <row r="44" spans="1:17" ht="48" x14ac:dyDescent="0.25">
      <c r="A44" s="1"/>
      <c r="B44" s="15">
        <f>ROW(B44) - ROW($B$7)</f>
        <v>37</v>
      </c>
      <c r="C44" s="20" t="s">
        <v>22</v>
      </c>
      <c r="D44" s="13" t="s">
        <v>65</v>
      </c>
      <c r="E44" s="13" t="s">
        <v>121</v>
      </c>
      <c r="F44" s="13" t="s">
        <v>169</v>
      </c>
      <c r="G44" s="13" t="s">
        <v>206</v>
      </c>
      <c r="H44" s="13" t="s">
        <v>223</v>
      </c>
      <c r="I44" s="13"/>
      <c r="J44" s="13" t="s">
        <v>290</v>
      </c>
      <c r="K44" s="13" t="s">
        <v>317</v>
      </c>
      <c r="L44" s="13">
        <v>22</v>
      </c>
      <c r="M44" s="13">
        <v>100</v>
      </c>
      <c r="N44" s="49" t="s">
        <v>339</v>
      </c>
      <c r="O44" s="14">
        <v>1E-3</v>
      </c>
      <c r="P44" s="14">
        <f>O44*M44</f>
        <v>0.1</v>
      </c>
      <c r="Q44" s="13"/>
    </row>
    <row r="45" spans="1:17" x14ac:dyDescent="0.25">
      <c r="A45" s="1"/>
      <c r="B45" s="16">
        <f t="shared" si="0"/>
        <v>38</v>
      </c>
      <c r="C45" s="21" t="s">
        <v>22</v>
      </c>
      <c r="D45" s="18" t="s">
        <v>66</v>
      </c>
      <c r="E45" s="18" t="s">
        <v>122</v>
      </c>
      <c r="F45" s="18" t="s">
        <v>170</v>
      </c>
      <c r="G45" s="18" t="s">
        <v>207</v>
      </c>
      <c r="H45" s="18" t="s">
        <v>223</v>
      </c>
      <c r="I45" s="18"/>
      <c r="J45" s="18" t="s">
        <v>291</v>
      </c>
      <c r="K45" s="18" t="s">
        <v>318</v>
      </c>
      <c r="L45" s="18">
        <v>5</v>
      </c>
      <c r="M45" s="18">
        <v>100</v>
      </c>
      <c r="N45" s="49" t="s">
        <v>339</v>
      </c>
      <c r="O45" s="19">
        <v>5.9999999999999995E-4</v>
      </c>
      <c r="P45" s="19">
        <f t="shared" ref="P45" si="19">O45*M45</f>
        <v>0.06</v>
      </c>
      <c r="Q45" s="18"/>
    </row>
    <row r="46" spans="1:17" x14ac:dyDescent="0.25">
      <c r="A46" s="1"/>
      <c r="B46" s="15">
        <f>ROW(B46) - ROW($B$7)</f>
        <v>39</v>
      </c>
      <c r="C46" s="20" t="s">
        <v>22</v>
      </c>
      <c r="D46" s="13" t="s">
        <v>67</v>
      </c>
      <c r="E46" s="13" t="s">
        <v>123</v>
      </c>
      <c r="F46" s="13" t="s">
        <v>170</v>
      </c>
      <c r="G46" s="13" t="s">
        <v>208</v>
      </c>
      <c r="H46" s="13" t="s">
        <v>223</v>
      </c>
      <c r="I46" s="13"/>
      <c r="J46" s="13" t="s">
        <v>292</v>
      </c>
      <c r="K46" s="13" t="s">
        <v>319</v>
      </c>
      <c r="L46" s="13">
        <v>2</v>
      </c>
      <c r="M46" s="13">
        <v>100</v>
      </c>
      <c r="N46" s="49" t="s">
        <v>339</v>
      </c>
      <c r="O46" s="14">
        <v>5.9999999999999995E-4</v>
      </c>
      <c r="P46" s="14">
        <f>O46*M46</f>
        <v>0.06</v>
      </c>
      <c r="Q46" s="13"/>
    </row>
    <row r="47" spans="1:17" x14ac:dyDescent="0.25">
      <c r="A47" s="1"/>
      <c r="B47" s="16">
        <f t="shared" si="0"/>
        <v>40</v>
      </c>
      <c r="C47" s="21" t="s">
        <v>22</v>
      </c>
      <c r="D47" s="18" t="s">
        <v>68</v>
      </c>
      <c r="E47" s="18" t="s">
        <v>124</v>
      </c>
      <c r="F47" s="18" t="s">
        <v>169</v>
      </c>
      <c r="G47" s="18" t="s">
        <v>209</v>
      </c>
      <c r="H47" s="18" t="s">
        <v>223</v>
      </c>
      <c r="I47" s="18"/>
      <c r="J47" s="18" t="s">
        <v>293</v>
      </c>
      <c r="K47" s="18" t="s">
        <v>320</v>
      </c>
      <c r="L47" s="18">
        <v>1</v>
      </c>
      <c r="M47" s="18">
        <v>100</v>
      </c>
      <c r="N47" s="49" t="s">
        <v>339</v>
      </c>
      <c r="O47" s="19">
        <v>1.1999999999999999E-3</v>
      </c>
      <c r="P47" s="19">
        <f t="shared" ref="P47" si="20">O47*M47</f>
        <v>0.12</v>
      </c>
      <c r="Q47" s="18"/>
    </row>
    <row r="48" spans="1:17" x14ac:dyDescent="0.25">
      <c r="A48" s="1"/>
      <c r="B48" s="15">
        <f>ROW(B48) - ROW($B$7)</f>
        <v>41</v>
      </c>
      <c r="C48" s="20" t="s">
        <v>22</v>
      </c>
      <c r="D48" s="13" t="s">
        <v>69</v>
      </c>
      <c r="E48" s="13" t="s">
        <v>125</v>
      </c>
      <c r="F48" s="13" t="s">
        <v>171</v>
      </c>
      <c r="G48" s="13" t="s">
        <v>210</v>
      </c>
      <c r="H48" s="13" t="s">
        <v>223</v>
      </c>
      <c r="I48" s="13"/>
      <c r="J48" s="13" t="s">
        <v>294</v>
      </c>
      <c r="K48" s="13" t="s">
        <v>321</v>
      </c>
      <c r="L48" s="13">
        <v>1</v>
      </c>
      <c r="M48" s="13">
        <v>50</v>
      </c>
      <c r="N48" s="49" t="s">
        <v>339</v>
      </c>
      <c r="O48" s="14">
        <v>8.8000000000000005E-3</v>
      </c>
      <c r="P48" s="14">
        <f>O48*M48</f>
        <v>0.44</v>
      </c>
      <c r="Q48" s="13"/>
    </row>
    <row r="49" spans="1:17" x14ac:dyDescent="0.25">
      <c r="A49" s="1"/>
      <c r="B49" s="16">
        <f t="shared" si="0"/>
        <v>42</v>
      </c>
      <c r="C49" s="21" t="s">
        <v>22</v>
      </c>
      <c r="D49" s="18" t="s">
        <v>70</v>
      </c>
      <c r="E49" s="18" t="s">
        <v>126</v>
      </c>
      <c r="F49" s="18" t="s">
        <v>169</v>
      </c>
      <c r="G49" s="18" t="s">
        <v>211</v>
      </c>
      <c r="H49" s="18" t="s">
        <v>223</v>
      </c>
      <c r="I49" s="18"/>
      <c r="J49" s="18" t="s">
        <v>295</v>
      </c>
      <c r="K49" s="18" t="s">
        <v>322</v>
      </c>
      <c r="L49" s="18">
        <v>2</v>
      </c>
      <c r="M49" s="18">
        <v>100</v>
      </c>
      <c r="N49" s="49" t="s">
        <v>339</v>
      </c>
      <c r="O49" s="19">
        <v>1.2999999999999999E-3</v>
      </c>
      <c r="P49" s="19">
        <f t="shared" ref="P49" si="21">O49*M49</f>
        <v>0.13</v>
      </c>
      <c r="Q49" s="18"/>
    </row>
    <row r="50" spans="1:17" ht="24" x14ac:dyDescent="0.25">
      <c r="A50" s="1"/>
      <c r="B50" s="15">
        <f>ROW(B50) - ROW($B$7)</f>
        <v>43</v>
      </c>
      <c r="C50" s="20" t="s">
        <v>22</v>
      </c>
      <c r="D50" s="13" t="s">
        <v>71</v>
      </c>
      <c r="E50" s="13" t="s">
        <v>127</v>
      </c>
      <c r="F50" s="13" t="s">
        <v>169</v>
      </c>
      <c r="G50" s="13" t="s">
        <v>212</v>
      </c>
      <c r="H50" s="13" t="s">
        <v>223</v>
      </c>
      <c r="I50" s="13"/>
      <c r="J50" s="13" t="s">
        <v>296</v>
      </c>
      <c r="K50" s="13" t="s">
        <v>318</v>
      </c>
      <c r="L50" s="13">
        <v>12</v>
      </c>
      <c r="M50" s="13">
        <v>100</v>
      </c>
      <c r="N50" s="49" t="s">
        <v>339</v>
      </c>
      <c r="O50" s="14">
        <v>1E-3</v>
      </c>
      <c r="P50" s="14">
        <f>O50*M50</f>
        <v>0.1</v>
      </c>
      <c r="Q50" s="13"/>
    </row>
    <row r="51" spans="1:17" x14ac:dyDescent="0.25">
      <c r="A51" s="1"/>
      <c r="B51" s="16">
        <f t="shared" si="0"/>
        <v>44</v>
      </c>
      <c r="C51" s="20" t="s">
        <v>22</v>
      </c>
      <c r="D51" s="18" t="s">
        <v>72</v>
      </c>
      <c r="E51" s="18" t="s">
        <v>128</v>
      </c>
      <c r="F51" s="18" t="s">
        <v>169</v>
      </c>
      <c r="G51" s="18" t="s">
        <v>213</v>
      </c>
      <c r="H51" s="18" t="s">
        <v>223</v>
      </c>
      <c r="I51" s="18"/>
      <c r="J51" s="18" t="s">
        <v>297</v>
      </c>
      <c r="K51" s="18" t="s">
        <v>323</v>
      </c>
      <c r="L51" s="18">
        <v>7</v>
      </c>
      <c r="M51" s="18">
        <v>100</v>
      </c>
      <c r="N51" s="49" t="s">
        <v>339</v>
      </c>
      <c r="O51" s="19">
        <v>1.1999999999999999E-3</v>
      </c>
      <c r="P51" s="19">
        <f t="shared" ref="P51" si="22">O51*M51</f>
        <v>0.12</v>
      </c>
      <c r="Q51" s="18"/>
    </row>
    <row r="52" spans="1:17" ht="48" x14ac:dyDescent="0.25">
      <c r="A52" s="1"/>
      <c r="B52" s="15">
        <f>ROW(B52) - ROW($B$7)</f>
        <v>45</v>
      </c>
      <c r="C52" s="20" t="s">
        <v>23</v>
      </c>
      <c r="D52" s="13" t="s">
        <v>73</v>
      </c>
      <c r="E52" s="13" t="s">
        <v>129</v>
      </c>
      <c r="F52" s="13" t="s">
        <v>338</v>
      </c>
      <c r="G52" s="13" t="s">
        <v>172</v>
      </c>
      <c r="H52" s="13" t="s">
        <v>248</v>
      </c>
      <c r="I52" s="13"/>
      <c r="J52" s="13" t="s">
        <v>298</v>
      </c>
      <c r="K52" s="13" t="s">
        <v>332</v>
      </c>
      <c r="L52" s="13">
        <v>2</v>
      </c>
      <c r="M52" s="13">
        <v>20</v>
      </c>
      <c r="N52" s="49" t="s">
        <v>339</v>
      </c>
      <c r="O52" s="14">
        <v>1.9699999999999999E-2</v>
      </c>
      <c r="P52" s="14">
        <f>O52*M52</f>
        <v>0.39399999999999996</v>
      </c>
      <c r="Q52" s="13"/>
    </row>
    <row r="53" spans="1:17" x14ac:dyDescent="0.25">
      <c r="A53" s="1"/>
      <c r="B53" s="16">
        <f t="shared" si="0"/>
        <v>46</v>
      </c>
      <c r="C53" s="21" t="s">
        <v>24</v>
      </c>
      <c r="D53" s="18" t="s">
        <v>74</v>
      </c>
      <c r="E53" s="18" t="s">
        <v>130</v>
      </c>
      <c r="F53" s="13" t="s">
        <v>338</v>
      </c>
      <c r="G53" s="18" t="s">
        <v>173</v>
      </c>
      <c r="H53" s="18" t="s">
        <v>249</v>
      </c>
      <c r="I53" s="18"/>
      <c r="J53" s="18" t="s">
        <v>299</v>
      </c>
      <c r="K53" s="18"/>
      <c r="L53" s="18">
        <v>6</v>
      </c>
      <c r="M53" s="18">
        <v>10</v>
      </c>
      <c r="N53" s="49" t="s">
        <v>339</v>
      </c>
      <c r="O53" s="19">
        <v>8.5099999999999995E-2</v>
      </c>
      <c r="P53" s="19">
        <f t="shared" ref="P53" si="23">O53*M53</f>
        <v>0.85099999999999998</v>
      </c>
      <c r="Q53" s="18"/>
    </row>
    <row r="54" spans="1:17" x14ac:dyDescent="0.25">
      <c r="A54" s="1"/>
      <c r="B54" s="15">
        <f>ROW(B54) - ROW($B$7)</f>
        <v>47</v>
      </c>
      <c r="C54" s="20" t="s">
        <v>25</v>
      </c>
      <c r="D54" s="13" t="s">
        <v>75</v>
      </c>
      <c r="E54" s="13" t="s">
        <v>131</v>
      </c>
      <c r="F54" s="13" t="s">
        <v>338</v>
      </c>
      <c r="G54" s="13" t="s">
        <v>174</v>
      </c>
      <c r="H54" s="13" t="s">
        <v>250</v>
      </c>
      <c r="I54" s="13"/>
      <c r="J54" s="13" t="s">
        <v>300</v>
      </c>
      <c r="K54" s="13"/>
      <c r="L54" s="13">
        <v>1</v>
      </c>
      <c r="M54" s="13">
        <v>1</v>
      </c>
      <c r="N54" s="49" t="s">
        <v>339</v>
      </c>
      <c r="O54" s="14">
        <v>5.0823999999999998</v>
      </c>
      <c r="P54" s="14">
        <f>O54*M54</f>
        <v>5.0823999999999998</v>
      </c>
      <c r="Q54" s="13"/>
    </row>
    <row r="55" spans="1:17" ht="24" x14ac:dyDescent="0.25">
      <c r="A55" s="1"/>
      <c r="B55" s="16">
        <f t="shared" si="0"/>
        <v>48</v>
      </c>
      <c r="C55" s="21" t="s">
        <v>26</v>
      </c>
      <c r="D55" s="18" t="s">
        <v>76</v>
      </c>
      <c r="E55" s="18" t="s">
        <v>132</v>
      </c>
      <c r="F55" s="18" t="s">
        <v>175</v>
      </c>
      <c r="G55" s="18" t="s">
        <v>214</v>
      </c>
      <c r="H55" s="18" t="s">
        <v>251</v>
      </c>
      <c r="I55" s="18"/>
      <c r="J55" s="18" t="s">
        <v>301</v>
      </c>
      <c r="K55" s="18"/>
      <c r="L55" s="18">
        <v>1</v>
      </c>
      <c r="M55" s="18">
        <v>20</v>
      </c>
      <c r="N55" s="49" t="s">
        <v>339</v>
      </c>
      <c r="O55" s="19">
        <v>3.1600000000000003E-2</v>
      </c>
      <c r="P55" s="19">
        <f t="shared" ref="P55" si="24">O55*M55</f>
        <v>0.63200000000000012</v>
      </c>
      <c r="Q55" s="18"/>
    </row>
    <row r="56" spans="1:17" x14ac:dyDescent="0.25">
      <c r="A56" s="1"/>
      <c r="B56" s="15">
        <f>ROW(B56) - ROW($B$7)</f>
        <v>49</v>
      </c>
      <c r="C56" s="20" t="s">
        <v>26</v>
      </c>
      <c r="D56" s="13" t="s">
        <v>77</v>
      </c>
      <c r="E56" s="13" t="s">
        <v>133</v>
      </c>
      <c r="F56" s="13" t="s">
        <v>176</v>
      </c>
      <c r="G56" s="13" t="s">
        <v>215</v>
      </c>
      <c r="H56" s="13" t="s">
        <v>252</v>
      </c>
      <c r="I56" s="13"/>
      <c r="J56" s="13" t="s">
        <v>302</v>
      </c>
      <c r="K56" s="13"/>
      <c r="L56" s="13">
        <v>1</v>
      </c>
      <c r="M56" s="13">
        <v>1</v>
      </c>
      <c r="N56" s="49" t="s">
        <v>339</v>
      </c>
      <c r="O56" s="14">
        <v>4.9984999999999999</v>
      </c>
      <c r="P56" s="14">
        <f>O56*M56</f>
        <v>4.9984999999999999</v>
      </c>
      <c r="Q56" s="13"/>
    </row>
    <row r="57" spans="1:17" x14ac:dyDescent="0.25">
      <c r="A57" s="1"/>
      <c r="B57" s="16">
        <f t="shared" si="0"/>
        <v>50</v>
      </c>
      <c r="C57" s="21" t="s">
        <v>26</v>
      </c>
      <c r="D57" s="18" t="s">
        <v>78</v>
      </c>
      <c r="E57" s="18" t="s">
        <v>134</v>
      </c>
      <c r="F57" s="18" t="s">
        <v>177</v>
      </c>
      <c r="G57" s="18" t="s">
        <v>216</v>
      </c>
      <c r="H57" s="18" t="s">
        <v>230</v>
      </c>
      <c r="I57" s="18"/>
      <c r="J57" s="18" t="s">
        <v>303</v>
      </c>
      <c r="K57" s="18"/>
      <c r="L57" s="18">
        <v>1</v>
      </c>
      <c r="M57" s="18">
        <v>5</v>
      </c>
      <c r="N57" s="49" t="s">
        <v>339</v>
      </c>
      <c r="O57" s="19">
        <v>0.19719999999999999</v>
      </c>
      <c r="P57" s="19">
        <f t="shared" ref="P57" si="25">O57*M57</f>
        <v>0.98599999999999999</v>
      </c>
      <c r="Q57" s="18"/>
    </row>
    <row r="58" spans="1:17" x14ac:dyDescent="0.25">
      <c r="A58" s="1"/>
      <c r="B58" s="15">
        <f>ROW(B58) - ROW($B$7)</f>
        <v>51</v>
      </c>
      <c r="C58" s="20" t="s">
        <v>26</v>
      </c>
      <c r="D58" s="13" t="s">
        <v>79</v>
      </c>
      <c r="E58" s="13" t="s">
        <v>135</v>
      </c>
      <c r="F58" s="13" t="s">
        <v>178</v>
      </c>
      <c r="G58" s="13" t="s">
        <v>217</v>
      </c>
      <c r="H58" s="13" t="s">
        <v>253</v>
      </c>
      <c r="I58" s="13"/>
      <c r="J58" s="13" t="s">
        <v>304</v>
      </c>
      <c r="K58" s="13"/>
      <c r="L58" s="13">
        <v>2</v>
      </c>
      <c r="M58" s="13">
        <v>5</v>
      </c>
      <c r="N58" s="49" t="s">
        <v>339</v>
      </c>
      <c r="O58" s="14">
        <v>0.1948</v>
      </c>
      <c r="P58" s="14">
        <f>O58*M58</f>
        <v>0.97399999999999998</v>
      </c>
      <c r="Q58" s="13"/>
    </row>
    <row r="59" spans="1:17" x14ac:dyDescent="0.25">
      <c r="A59" s="1"/>
      <c r="B59" s="16">
        <f t="shared" si="0"/>
        <v>52</v>
      </c>
      <c r="C59" s="21" t="s">
        <v>26</v>
      </c>
      <c r="D59" s="18" t="s">
        <v>80</v>
      </c>
      <c r="E59" s="18" t="s">
        <v>136</v>
      </c>
      <c r="F59" s="18" t="s">
        <v>179</v>
      </c>
      <c r="G59" s="18" t="s">
        <v>218</v>
      </c>
      <c r="H59" s="18" t="s">
        <v>230</v>
      </c>
      <c r="I59" s="18"/>
      <c r="J59" s="18" t="s">
        <v>305</v>
      </c>
      <c r="K59" s="18"/>
      <c r="L59" s="18">
        <v>1</v>
      </c>
      <c r="M59" s="18">
        <v>1</v>
      </c>
      <c r="N59" s="49" t="s">
        <v>339</v>
      </c>
      <c r="O59" s="19">
        <v>1.1847000000000001</v>
      </c>
      <c r="P59" s="19">
        <f t="shared" ref="P59" si="26">O59*M59</f>
        <v>1.1847000000000001</v>
      </c>
      <c r="Q59" s="18"/>
    </row>
    <row r="60" spans="1:17" x14ac:dyDescent="0.25">
      <c r="A60" s="1"/>
      <c r="B60" s="15">
        <f>ROW(B60) - ROW($B$7)</f>
        <v>53</v>
      </c>
      <c r="C60" s="20" t="s">
        <v>26</v>
      </c>
      <c r="D60" s="13" t="s">
        <v>81</v>
      </c>
      <c r="E60" s="13" t="s">
        <v>137</v>
      </c>
      <c r="F60" s="13" t="s">
        <v>180</v>
      </c>
      <c r="G60" s="13" t="s">
        <v>219</v>
      </c>
      <c r="H60" s="13" t="s">
        <v>230</v>
      </c>
      <c r="I60" s="13"/>
      <c r="J60" s="13" t="s">
        <v>306</v>
      </c>
      <c r="K60" s="13"/>
      <c r="L60" s="13">
        <v>1</v>
      </c>
      <c r="M60" s="13">
        <v>5</v>
      </c>
      <c r="N60" s="49" t="s">
        <v>339</v>
      </c>
      <c r="O60" s="14">
        <v>0.19689999999999999</v>
      </c>
      <c r="P60" s="14">
        <f>O60*M60</f>
        <v>0.98449999999999993</v>
      </c>
      <c r="Q60" s="13"/>
    </row>
    <row r="61" spans="1:17" x14ac:dyDescent="0.25">
      <c r="A61" s="1"/>
      <c r="B61" s="16">
        <f t="shared" si="0"/>
        <v>54</v>
      </c>
      <c r="C61" s="21" t="s">
        <v>26</v>
      </c>
      <c r="D61" s="18" t="s">
        <v>82</v>
      </c>
      <c r="E61" s="18" t="s">
        <v>138</v>
      </c>
      <c r="F61" s="18" t="s">
        <v>181</v>
      </c>
      <c r="G61" s="18" t="s">
        <v>220</v>
      </c>
      <c r="H61" s="18" t="s">
        <v>254</v>
      </c>
      <c r="I61" s="18"/>
      <c r="J61" s="18" t="s">
        <v>307</v>
      </c>
      <c r="K61" s="18"/>
      <c r="L61" s="18">
        <v>1</v>
      </c>
      <c r="M61" s="18">
        <v>1</v>
      </c>
      <c r="N61" s="49" t="s">
        <v>339</v>
      </c>
      <c r="O61" s="19">
        <v>1.5580000000000001</v>
      </c>
      <c r="P61" s="19">
        <f t="shared" ref="P61" si="27">O61*M61</f>
        <v>1.5580000000000001</v>
      </c>
      <c r="Q61" s="18"/>
    </row>
    <row r="62" spans="1:17" ht="24" x14ac:dyDescent="0.25">
      <c r="A62" s="1"/>
      <c r="B62" s="16">
        <f t="shared" si="0"/>
        <v>55</v>
      </c>
      <c r="C62" s="20" t="s">
        <v>27</v>
      </c>
      <c r="D62" s="13" t="s">
        <v>83</v>
      </c>
      <c r="E62" s="13" t="s">
        <v>139</v>
      </c>
      <c r="F62" s="13" t="s">
        <v>338</v>
      </c>
      <c r="G62" s="13" t="s">
        <v>182</v>
      </c>
      <c r="H62" s="13" t="s">
        <v>255</v>
      </c>
      <c r="I62" s="13"/>
      <c r="J62" s="13" t="s">
        <v>308</v>
      </c>
      <c r="K62" s="13"/>
      <c r="L62" s="13">
        <v>1</v>
      </c>
      <c r="M62" s="13">
        <v>1</v>
      </c>
      <c r="N62" s="49" t="s">
        <v>339</v>
      </c>
      <c r="O62" s="14">
        <v>0.26550000000000001</v>
      </c>
      <c r="P62" s="14">
        <f>O62*M62</f>
        <v>0.26550000000000001</v>
      </c>
      <c r="Q62" s="13"/>
    </row>
    <row r="63" spans="1:17" ht="48" x14ac:dyDescent="0.25">
      <c r="A63" s="1"/>
      <c r="B63" s="16">
        <f t="shared" si="0"/>
        <v>56</v>
      </c>
      <c r="C63" s="20" t="s">
        <v>340</v>
      </c>
      <c r="D63" s="13" t="s">
        <v>347</v>
      </c>
      <c r="E63" s="13" t="s">
        <v>345</v>
      </c>
      <c r="F63" s="13" t="s">
        <v>332</v>
      </c>
      <c r="G63" s="13" t="s">
        <v>346</v>
      </c>
      <c r="H63" s="13" t="s">
        <v>332</v>
      </c>
      <c r="I63" s="13" t="s">
        <v>332</v>
      </c>
      <c r="J63" s="13" t="s">
        <v>332</v>
      </c>
      <c r="K63" s="13" t="s">
        <v>332</v>
      </c>
      <c r="L63" s="13">
        <v>1</v>
      </c>
      <c r="M63" s="13">
        <v>1</v>
      </c>
      <c r="N63" s="49" t="s">
        <v>348</v>
      </c>
      <c r="O63" s="14">
        <v>1.58</v>
      </c>
      <c r="P63" s="14">
        <f>O63*M63</f>
        <v>1.58</v>
      </c>
      <c r="Q63" s="13"/>
    </row>
    <row r="64" spans="1:17" ht="36" x14ac:dyDescent="0.25">
      <c r="A64" s="1"/>
      <c r="B64" s="16">
        <f t="shared" si="0"/>
        <v>57</v>
      </c>
      <c r="C64" s="20" t="s">
        <v>340</v>
      </c>
      <c r="D64" s="13" t="s">
        <v>349</v>
      </c>
      <c r="E64" s="13" t="s">
        <v>350</v>
      </c>
      <c r="F64" s="13" t="s">
        <v>332</v>
      </c>
      <c r="G64" s="13" t="s">
        <v>351</v>
      </c>
      <c r="H64" s="13" t="s">
        <v>332</v>
      </c>
      <c r="I64" s="13" t="s">
        <v>332</v>
      </c>
      <c r="J64" s="13" t="s">
        <v>332</v>
      </c>
      <c r="K64" s="13" t="s">
        <v>332</v>
      </c>
      <c r="L64" s="13">
        <v>1</v>
      </c>
      <c r="M64" s="13">
        <v>1</v>
      </c>
      <c r="N64" s="49" t="s">
        <v>348</v>
      </c>
      <c r="O64" s="14">
        <v>39.909999999999997</v>
      </c>
      <c r="P64" s="14">
        <f t="shared" ref="P64:P65" si="28">O64*M64</f>
        <v>39.909999999999997</v>
      </c>
      <c r="Q64" s="13"/>
    </row>
    <row r="65" spans="1:17" ht="30" x14ac:dyDescent="0.25">
      <c r="A65" s="1"/>
      <c r="B65" s="16">
        <f t="shared" si="0"/>
        <v>58</v>
      </c>
      <c r="C65" s="20" t="s">
        <v>340</v>
      </c>
      <c r="D65" s="13" t="s">
        <v>352</v>
      </c>
      <c r="E65" s="13" t="s">
        <v>332</v>
      </c>
      <c r="F65" s="13" t="s">
        <v>332</v>
      </c>
      <c r="G65" s="13" t="s">
        <v>353</v>
      </c>
      <c r="H65" s="13" t="s">
        <v>332</v>
      </c>
      <c r="I65" s="13" t="s">
        <v>332</v>
      </c>
      <c r="J65" s="13" t="s">
        <v>332</v>
      </c>
      <c r="K65" s="13" t="s">
        <v>332</v>
      </c>
      <c r="L65" s="13">
        <v>1</v>
      </c>
      <c r="M65" s="13">
        <v>1</v>
      </c>
      <c r="N65" s="49" t="s">
        <v>348</v>
      </c>
      <c r="O65" s="14">
        <v>7.35</v>
      </c>
      <c r="P65" s="14">
        <f t="shared" si="28"/>
        <v>7.35</v>
      </c>
      <c r="Q65" s="13"/>
    </row>
    <row r="66" spans="1:17" x14ac:dyDescent="0.25">
      <c r="A66" s="1"/>
      <c r="B66" s="16">
        <f t="shared" si="0"/>
        <v>59</v>
      </c>
      <c r="C66" s="20" t="s">
        <v>340</v>
      </c>
      <c r="D66" s="13" t="s">
        <v>354</v>
      </c>
      <c r="E66" s="13" t="s">
        <v>332</v>
      </c>
      <c r="F66" s="13" t="s">
        <v>332</v>
      </c>
      <c r="G66" s="13" t="s">
        <v>356</v>
      </c>
      <c r="H66" s="13" t="s">
        <v>332</v>
      </c>
      <c r="I66" s="13" t="s">
        <v>332</v>
      </c>
      <c r="J66" s="13" t="s">
        <v>332</v>
      </c>
      <c r="K66" s="13" t="s">
        <v>332</v>
      </c>
      <c r="L66" s="13">
        <v>1</v>
      </c>
      <c r="M66" s="13">
        <v>1</v>
      </c>
      <c r="N66" s="49" t="s">
        <v>357</v>
      </c>
      <c r="O66" s="14"/>
      <c r="P66" s="14"/>
      <c r="Q66" s="50" t="s">
        <v>358</v>
      </c>
    </row>
    <row r="67" spans="1:17" x14ac:dyDescent="0.25">
      <c r="A67" s="1"/>
      <c r="B67" s="16">
        <f t="shared" si="0"/>
        <v>60</v>
      </c>
      <c r="C67" s="20" t="s">
        <v>340</v>
      </c>
      <c r="D67" s="13" t="s">
        <v>355</v>
      </c>
      <c r="E67" s="13" t="s">
        <v>332</v>
      </c>
      <c r="F67" s="13" t="s">
        <v>332</v>
      </c>
      <c r="G67" s="13" t="s">
        <v>359</v>
      </c>
      <c r="H67" s="13" t="s">
        <v>332</v>
      </c>
      <c r="I67" s="13" t="s">
        <v>332</v>
      </c>
      <c r="J67" s="13" t="s">
        <v>332</v>
      </c>
      <c r="K67" s="13" t="s">
        <v>332</v>
      </c>
      <c r="L67" s="13">
        <v>1</v>
      </c>
      <c r="M67" s="13">
        <v>1</v>
      </c>
      <c r="N67" s="49" t="s">
        <v>357</v>
      </c>
      <c r="O67" s="14"/>
      <c r="P67" s="14"/>
      <c r="Q67" s="50" t="s">
        <v>358</v>
      </c>
    </row>
    <row r="68" spans="1:17" ht="30.75" thickBot="1" x14ac:dyDescent="0.3">
      <c r="A68" s="1"/>
      <c r="B68" s="15">
        <f>ROW(B68) - ROW($B$7)</f>
        <v>61</v>
      </c>
      <c r="C68" s="20" t="s">
        <v>340</v>
      </c>
      <c r="D68" s="13" t="s">
        <v>344</v>
      </c>
      <c r="E68" s="13" t="s">
        <v>332</v>
      </c>
      <c r="F68" s="13" t="s">
        <v>332</v>
      </c>
      <c r="G68" s="13" t="s">
        <v>341</v>
      </c>
      <c r="H68" s="13" t="s">
        <v>342</v>
      </c>
      <c r="I68" s="13" t="s">
        <v>332</v>
      </c>
      <c r="J68" s="13" t="s">
        <v>332</v>
      </c>
      <c r="K68" s="13" t="s">
        <v>332</v>
      </c>
      <c r="L68" s="13">
        <v>1</v>
      </c>
      <c r="M68" s="13">
        <v>1</v>
      </c>
      <c r="N68" s="49" t="s">
        <v>343</v>
      </c>
      <c r="O68" s="14">
        <v>42.3</v>
      </c>
      <c r="P68" s="14">
        <f>O68*M68</f>
        <v>42.3</v>
      </c>
      <c r="Q68" s="13"/>
    </row>
    <row r="69" spans="1:17" ht="19.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37" t="s">
        <v>3</v>
      </c>
      <c r="N69" s="38"/>
      <c r="O69" s="38"/>
      <c r="P69" s="17">
        <f>SUM(P8:P68)</f>
        <v>141.83609999999999</v>
      </c>
      <c r="Q69" s="1"/>
    </row>
    <row r="70" spans="1:1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25">
      <c r="J71" s="1"/>
    </row>
  </sheetData>
  <mergeCells count="2">
    <mergeCell ref="K1:Q1"/>
    <mergeCell ref="M69:O69"/>
  </mergeCells>
  <hyperlinks>
    <hyperlink ref="N8" r:id="rId1"/>
    <hyperlink ref="N9" r:id="rId2"/>
    <hyperlink ref="N10" r:id="rId3"/>
    <hyperlink ref="N11" r:id="rId4"/>
    <hyperlink ref="N12" r:id="rId5"/>
    <hyperlink ref="N13" r:id="rId6"/>
    <hyperlink ref="N14" r:id="rId7"/>
    <hyperlink ref="N15" r:id="rId8"/>
    <hyperlink ref="N16" r:id="rId9"/>
    <hyperlink ref="N17" r:id="rId10"/>
    <hyperlink ref="N18" r:id="rId11"/>
    <hyperlink ref="N19" r:id="rId12"/>
    <hyperlink ref="N20" r:id="rId13"/>
    <hyperlink ref="N21" r:id="rId14"/>
    <hyperlink ref="N22" r:id="rId15"/>
    <hyperlink ref="N23" r:id="rId16"/>
    <hyperlink ref="N24" r:id="rId17"/>
    <hyperlink ref="N25" r:id="rId18"/>
    <hyperlink ref="N26" r:id="rId19"/>
    <hyperlink ref="N27" r:id="rId20"/>
    <hyperlink ref="N28" r:id="rId21"/>
    <hyperlink ref="N29" r:id="rId22"/>
    <hyperlink ref="N30" r:id="rId23"/>
    <hyperlink ref="N31" r:id="rId24"/>
    <hyperlink ref="N32" r:id="rId25"/>
    <hyperlink ref="N33" r:id="rId26"/>
    <hyperlink ref="N34" r:id="rId27"/>
    <hyperlink ref="N35" r:id="rId28"/>
    <hyperlink ref="N36" r:id="rId29"/>
    <hyperlink ref="N37" r:id="rId30"/>
    <hyperlink ref="N38" r:id="rId31"/>
    <hyperlink ref="N39" r:id="rId32"/>
    <hyperlink ref="N40" r:id="rId33"/>
    <hyperlink ref="N41" r:id="rId34"/>
    <hyperlink ref="N42" r:id="rId35"/>
    <hyperlink ref="N43" r:id="rId36"/>
    <hyperlink ref="N44" r:id="rId37"/>
    <hyperlink ref="N45" r:id="rId38"/>
    <hyperlink ref="N46" r:id="rId39"/>
    <hyperlink ref="N47" r:id="rId40"/>
    <hyperlink ref="N48" r:id="rId41"/>
    <hyperlink ref="N49" r:id="rId42"/>
    <hyperlink ref="N50" r:id="rId43"/>
    <hyperlink ref="N51" r:id="rId44"/>
    <hyperlink ref="N52" r:id="rId45"/>
    <hyperlink ref="N53" r:id="rId46"/>
    <hyperlink ref="N54" r:id="rId47"/>
    <hyperlink ref="N55" r:id="rId48"/>
    <hyperlink ref="N56" r:id="rId49"/>
    <hyperlink ref="N57" r:id="rId50"/>
    <hyperlink ref="N58" r:id="rId51"/>
    <hyperlink ref="N59" r:id="rId52"/>
    <hyperlink ref="N60" r:id="rId53"/>
    <hyperlink ref="N61" r:id="rId54"/>
    <hyperlink ref="N62" r:id="rId55"/>
    <hyperlink ref="N68" r:id="rId56"/>
    <hyperlink ref="N63" r:id="rId57"/>
    <hyperlink ref="N64" r:id="rId58"/>
    <hyperlink ref="N65" r:id="rId59"/>
    <hyperlink ref="N66" r:id="rId60"/>
    <hyperlink ref="N67" r:id="rId61"/>
  </hyperlinks>
  <pageMargins left="0.7" right="0.7" top="0.75" bottom="0.75" header="0.3" footer="0.3"/>
  <pageSetup paperSize="9" orientation="portrait" r:id="rId62"/>
  <drawing r:id="rId6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2024-07-19T16:17:40Z</dcterms:modified>
</cp:coreProperties>
</file>