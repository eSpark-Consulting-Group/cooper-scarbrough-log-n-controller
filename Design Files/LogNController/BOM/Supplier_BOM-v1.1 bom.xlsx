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Faizan\GitHub\CooperScarbrough-LogNController\Design Files\LogNController\BOM\"/>
    </mc:Choice>
  </mc:AlternateContent>
  <bookViews>
    <workbookView xWindow="0" yWindow="0" windowWidth="27945" windowHeight="1237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5" i="1" l="1"/>
  <c r="A64" i="1"/>
  <c r="A63" i="1"/>
  <c r="N62" i="1"/>
  <c r="A62" i="1"/>
  <c r="A61" i="1"/>
  <c r="A59" i="1"/>
  <c r="A58" i="1"/>
  <c r="N57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811524982F464C98AD9CF6F4D540240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303875" y="15878175"/>
          <a:ext cx="5810250" cy="5143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BB0CD34240FA4B9E80B398A6120AE477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16508730" y="20269835"/>
          <a:ext cx="3276600" cy="577215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<sst xmlns="http://schemas.openxmlformats.org/spreadsheetml/2006/main" count="511" uniqueCount="369">
  <si>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</si>
  <si>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</si>
  <si>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</si>
  <si>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</si>
  <si>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</si>
  <si>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</si>
  <si>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</si>
  <si>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Alternate Part Number</t>
  </si>
  <si>
    <t>LCSC Part Number</t>
  </si>
  <si>
    <t>Value</t>
  </si>
  <si>
    <t>Quantity</t>
  </si>
  <si>
    <t>Remarks</t>
  </si>
  <si>
    <t>Capacitor</t>
  </si>
  <si>
    <t>C1</t>
  </si>
  <si>
    <t>CAP ALUM POLY 100UF 20% 25V SMD</t>
  </si>
  <si>
    <t>Custom</t>
  </si>
  <si>
    <t>25SVPF100M</t>
  </si>
  <si>
    <t>Panasonic</t>
  </si>
  <si>
    <t>-</t>
  </si>
  <si>
    <t>C136279</t>
  </si>
  <si>
    <t>100uF</t>
  </si>
  <si>
    <t>C2, C4, C7, C10, C12, C14, C15, C16, C17, C21, C22, C23, C24, C25, C26, C27, C28, C29, C30, C31, C32, C33, C34, C35, C36, C37, C38, C39, C40, C41</t>
  </si>
  <si>
    <t>CAP CER 0.1UF 50V X5R 0603</t>
  </si>
  <si>
    <t>Cap-0603</t>
  </si>
  <si>
    <t>CC0603KRX5R9BB104</t>
  </si>
  <si>
    <t>Yageo</t>
  </si>
  <si>
    <t>C110022</t>
  </si>
  <si>
    <t>100nF</t>
  </si>
  <si>
    <t>C3, C9</t>
  </si>
  <si>
    <t>47uF 50V 66mA@120Hz ±20% SMD,D6.3xL7.7mm Aluminum Electrolytic Capacitors - SMD ROHS</t>
  </si>
  <si>
    <t>RVT1H470M0607</t>
  </si>
  <si>
    <t>ROQANG</t>
  </si>
  <si>
    <t>C72523</t>
  </si>
  <si>
    <t>47uF</t>
  </si>
  <si>
    <t>Tantalum Capacitor</t>
  </si>
  <si>
    <t>C5</t>
  </si>
  <si>
    <t>CAP TANT 22UF 10% 16V 1411</t>
  </si>
  <si>
    <t>Case-B</t>
  </si>
  <si>
    <t>TAJB226K016RNJ</t>
  </si>
  <si>
    <t>Kyocera AVX</t>
  </si>
  <si>
    <t>C8020</t>
  </si>
  <si>
    <t>22uF</t>
  </si>
  <si>
    <t>C6, C11</t>
  </si>
  <si>
    <t>CAP CER 22UF 10V X5R 0603</t>
  </si>
  <si>
    <t>CC0603MRX5R6BB226</t>
  </si>
  <si>
    <t>C109447</t>
  </si>
  <si>
    <t>C8, C19</t>
  </si>
  <si>
    <t>CAP CER 1UF 50V X5R 0603</t>
  </si>
  <si>
    <t>CL10A105KB8NNNC</t>
  </si>
  <si>
    <t>Samsung</t>
  </si>
  <si>
    <t>C15849</t>
  </si>
  <si>
    <t>1uF</t>
  </si>
  <si>
    <t>C13, C18</t>
  </si>
  <si>
    <t>CAP CER 4.7UF 16V X5R 0603</t>
  </si>
  <si>
    <t>CC0603KRX5R7BB475</t>
  </si>
  <si>
    <t>C277476</t>
  </si>
  <si>
    <t>4.7uF</t>
  </si>
  <si>
    <t>C20</t>
  </si>
  <si>
    <t>CAP CER 4700PF 1KV X7R 1206</t>
  </si>
  <si>
    <t>Cap-1206</t>
  </si>
  <si>
    <t>CC1206KKX7RCBB472</t>
  </si>
  <si>
    <t>C107198</t>
  </si>
  <si>
    <t>4.7nF</t>
  </si>
  <si>
    <t>(TVS/ESD)</t>
  </si>
  <si>
    <t>D1</t>
  </si>
  <si>
    <t>50A 600W 12V 7.78V 7V SMB Electrostatic and Surge Protection (TVS/ESD) ROHS</t>
  </si>
  <si>
    <t>SMB_</t>
  </si>
  <si>
    <t>SMBJ7.0A</t>
  </si>
  <si>
    <t>Slkor</t>
  </si>
  <si>
    <t>C3019967</t>
  </si>
  <si>
    <t>D2</t>
  </si>
  <si>
    <t>18.5A 32.4V 22.2V 20V DO-214AA Electrostatic and Surge Protection (TVS/ESD) ROHS</t>
  </si>
  <si>
    <t>SMBJ20A</t>
  </si>
  <si>
    <t>C2760886</t>
  </si>
  <si>
    <t>D3</t>
  </si>
  <si>
    <t>40V 500mV@2A 2A SMA(DO-214AC) Schottky Barrier Diodes (SBD) ROHS</t>
  </si>
  <si>
    <t>SMA</t>
  </si>
  <si>
    <t>SS24A</t>
  </si>
  <si>
    <t>Guangdong Hottech</t>
  </si>
  <si>
    <t>C2886579</t>
  </si>
  <si>
    <t>Diode</t>
  </si>
  <si>
    <t>D4</t>
  </si>
  <si>
    <t>DIODE SCHOTTKY 40V 250MA SOD323</t>
  </si>
  <si>
    <t>SOD-323</t>
  </si>
  <si>
    <t>NSR0240HT1G</t>
  </si>
  <si>
    <t>ON Semiconductor</t>
  </si>
  <si>
    <t>C152519</t>
  </si>
  <si>
    <t>TVS/ESD</t>
  </si>
  <si>
    <t>D5</t>
  </si>
  <si>
    <t>TVS DIODE 3.6VWM 8.4VC 3X2SON</t>
  </si>
  <si>
    <t>X2-SON-3(0.6x1.3).</t>
  </si>
  <si>
    <t>ESD122DMYR</t>
  </si>
  <si>
    <t>Texas Instruments</t>
  </si>
  <si>
    <t>C1975871</t>
  </si>
  <si>
    <t>D6, D7, D8, D9</t>
  </si>
  <si>
    <t>20.1A 19.9V 13.3V 12V SMA(DO-214AC) Electrostatic and Surge Protection (TVS/ESD) ROHS</t>
  </si>
  <si>
    <t>SMA Bi Directional</t>
  </si>
  <si>
    <t>SMAJ12CA</t>
  </si>
  <si>
    <t>MDD</t>
  </si>
  <si>
    <t>C110042</t>
  </si>
  <si>
    <t>D10, D11, D12, D13, D14, D15, D16</t>
  </si>
  <si>
    <t>DIODE GEN PURP 100V 300MA SOD123</t>
  </si>
  <si>
    <t>SOD-123</t>
  </si>
  <si>
    <t>1N4148W-7-F</t>
  </si>
  <si>
    <t>Diodes</t>
  </si>
  <si>
    <t>C83528</t>
  </si>
  <si>
    <t>Fuse</t>
  </si>
  <si>
    <t>F1</t>
  </si>
  <si>
    <t>1A Plugin Fuses ROHS</t>
  </si>
  <si>
    <t>2010T1A250V</t>
  </si>
  <si>
    <t>Walter Elec</t>
  </si>
  <si>
    <t>C354900</t>
  </si>
  <si>
    <t>F2</t>
  </si>
  <si>
    <t>6V 1A 50A 1W -40℃~+85℃ 2A 9mΩ 0.5s 80mΩ 0603 Resettable Fuses ROHS</t>
  </si>
  <si>
    <t>fuse-0603</t>
  </si>
  <si>
    <t>BSMD0603L-100</t>
  </si>
  <si>
    <t>BHFUSE</t>
  </si>
  <si>
    <t>C2757929</t>
  </si>
  <si>
    <t>F3, F4, F5, F6</t>
  </si>
  <si>
    <t>9V 200mA 100A 500mA 0805 Resettable Fuses ROHS</t>
  </si>
  <si>
    <t>Fuse-0805</t>
  </si>
  <si>
    <t>SMD0805P020TF</t>
  </si>
  <si>
    <t>RUILON</t>
  </si>
  <si>
    <t>C20976</t>
  </si>
  <si>
    <t>Ferrite Bead</t>
  </si>
  <si>
    <t>FB1</t>
  </si>
  <si>
    <t>FERRITE BEAD 120 OHM 0603 1LN</t>
  </si>
  <si>
    <t>IND-0603 (1608 Metric)</t>
  </si>
  <si>
    <t>BLM18SG121TN1D</t>
  </si>
  <si>
    <t>Murata</t>
  </si>
  <si>
    <t>C113030</t>
  </si>
  <si>
    <t>Terminal Block</t>
  </si>
  <si>
    <t>J1</t>
  </si>
  <si>
    <t>1x2P Barrier Block 2 1 16mm -40℃~+105℃ 76A 1kV Black 6~14 Straight pin 16 Plugin,P=16mm Barrier Terminal Blocks ROHS</t>
  </si>
  <si>
    <t>KF88SA-16.0-2P</t>
  </si>
  <si>
    <t>CiXi KaiFeng Electronics</t>
  </si>
  <si>
    <t>C707749</t>
  </si>
  <si>
    <t>J2, J4, J15</t>
  </si>
  <si>
    <t>1x2P Midfoot Barrier Block 2 1 13mm 40A -40℃~+105℃ 750V Black 10~18 Straight pin 6 Plugin,P=13mm Barrier Terminal Blocks ROHS</t>
  </si>
  <si>
    <t>KF78C-13.0-2P</t>
  </si>
  <si>
    <t>C707721</t>
  </si>
  <si>
    <t xml:space="preserve">Terminal </t>
  </si>
  <si>
    <t>J3</t>
  </si>
  <si>
    <t>M4 Plugin PCB Welding Terminal ROHS</t>
  </si>
  <si>
    <t>T44001</t>
  </si>
  <si>
    <t>XFCN</t>
  </si>
  <si>
    <t>C481447</t>
  </si>
  <si>
    <t>FFC/FPC Connector</t>
  </si>
  <si>
    <t>J5</t>
  </si>
  <si>
    <t>SMD,P=0.5mm,Surface Mount，Right Angle</t>
  </si>
  <si>
    <t>AFC07-S40ECA-00</t>
  </si>
  <si>
    <t>Jushuo</t>
  </si>
  <si>
    <t>C262648</t>
  </si>
  <si>
    <t>Connector</t>
  </si>
  <si>
    <t>J6</t>
  </si>
  <si>
    <t>1x6P SH 1 1mm 6 SMD,P=1mm Wire To Board / Wire To Wire Connector ROHS</t>
  </si>
  <si>
    <t>C145963</t>
  </si>
  <si>
    <t>BOOMELE</t>
  </si>
  <si>
    <t>USB Connector</t>
  </si>
  <si>
    <t>J7</t>
  </si>
  <si>
    <t>5A 1 16P Female Type-C SMD USB Connectors ROHS</t>
  </si>
  <si>
    <t>TYPE-C-31-M-12</t>
  </si>
  <si>
    <t>Korean Hroparts Elec</t>
  </si>
  <si>
    <t>C165948</t>
  </si>
  <si>
    <t>Male Header</t>
  </si>
  <si>
    <t>J8, J10</t>
  </si>
  <si>
    <t>Gold 250V 3A Straight Square Pins 2.5mm 2P 260℃ 6mm -40℃~+105℃ 3mm 2.54mm Plugin Black Brass 1x2P Plugin,P=2.54mm Pin Headers ROHS</t>
  </si>
  <si>
    <t>HDR1X2_</t>
  </si>
  <si>
    <t>X6511WV-02H-C60D30</t>
  </si>
  <si>
    <t>XKB</t>
  </si>
  <si>
    <t>C706874</t>
  </si>
  <si>
    <t>Terminal Blocks</t>
  </si>
  <si>
    <t>J9, J11</t>
  </si>
  <si>
    <t>TERM BLK 4P SIDE ENT 5.08MM PCB</t>
  </si>
  <si>
    <t>Phoenix Contact</t>
  </si>
  <si>
    <t>C5443561</t>
  </si>
  <si>
    <t>货少</t>
  </si>
  <si>
    <t>J12</t>
  </si>
  <si>
    <t>1x2P 18A -40℃~+105℃ 250V Black 12~30 Straight pin 5.08mm 2.5 1 2 Plugin,P=5.08mm Screw terminal ROHS</t>
  </si>
  <si>
    <t>DB128L-5.08-2P-BK-S</t>
  </si>
  <si>
    <t>DIBO</t>
  </si>
  <si>
    <t>C430601</t>
  </si>
  <si>
    <t>J13, J14, J16, J18, J19</t>
  </si>
  <si>
    <t>1x2P Midfoot Barrier Block 2 1 7.62mm 24A -40℃~+105℃ 250V Black 12~22 Straight pin 2.5 Plugin,P=7.62mm Barrier Terminal Blocks ROHS</t>
  </si>
  <si>
    <t>KF28C-7.62-2P</t>
  </si>
  <si>
    <t>C707609</t>
  </si>
  <si>
    <t>J17</t>
  </si>
  <si>
    <t>1x2P Midfoot Barrier Block 2 1 10mm -40℃~+105℃ 32A 750V Black 12~22 Straight pin 4 Plugin,P=10mm Barrier Terminal Blocks ROHS</t>
  </si>
  <si>
    <t>KF58C-10.0-2P</t>
  </si>
  <si>
    <t>C707693</t>
  </si>
  <si>
    <t>Relays</t>
  </si>
  <si>
    <t>K1, K4, K7</t>
  </si>
  <si>
    <t>250V@AC 5V 15A SPDT (1 Form C) Plugin,15.6x19.2mm Power Relays ROHS</t>
  </si>
  <si>
    <t>SRD-05VDC-SL-C</t>
  </si>
  <si>
    <t>Ningbo Songle Relay</t>
  </si>
  <si>
    <t>C35449</t>
  </si>
  <si>
    <t>Relay</t>
  </si>
  <si>
    <t>K2, K5</t>
  </si>
  <si>
    <t>5V 10A 20A@14VAC SPDT (1 Form C) 5 Plugin,12.4x16mm Power Relays ROHS</t>
  </si>
  <si>
    <t>SRA-05VDC-CL</t>
  </si>
  <si>
    <t>C99666</t>
  </si>
  <si>
    <t>K3, K6</t>
  </si>
  <si>
    <t>250V@AC 5V 30A Normal Open:1A(SPST-Normal Open) Plugin,27.6x32mm Power Relays ROHS</t>
  </si>
  <si>
    <t>SLA-05VDC-SL-A</t>
  </si>
  <si>
    <t>C250645</t>
  </si>
  <si>
    <t>Inductor</t>
  </si>
  <si>
    <t>L1</t>
  </si>
  <si>
    <t>Fixed Ind 4.7UH 2.8A 105MOHM SMD</t>
  </si>
  <si>
    <t>MWSA0402S-4R7MT</t>
  </si>
  <si>
    <t>Sunlord</t>
  </si>
  <si>
    <t>C408337</t>
  </si>
  <si>
    <t>4.7uH</t>
  </si>
  <si>
    <t>Mosfet</t>
  </si>
  <si>
    <t>Q1, Q2</t>
  </si>
  <si>
    <t>40V 100mW 100@10mA,1V 200mA 300MHz 300mV@50mA,5mA NPN -55℃~+150℃@(Tj) SOT-723 Bipolar Transistors - BJT ROHS</t>
  </si>
  <si>
    <t>SOT-723</t>
  </si>
  <si>
    <t>MMBT3904M</t>
  </si>
  <si>
    <t>TECH PUBLIC</t>
  </si>
  <si>
    <t>C2923360</t>
  </si>
  <si>
    <t>Q3, Q4, Q5, Q6, Q7, Q8, Q9</t>
  </si>
  <si>
    <t>TRANS NPN 40V 0.6A SMD SOT23-3</t>
  </si>
  <si>
    <t>SOT-23</t>
  </si>
  <si>
    <t>MMBT2222A-7-F</t>
  </si>
  <si>
    <t>C94515</t>
  </si>
  <si>
    <t>Resistor</t>
  </si>
  <si>
    <t>R1, R7, R24, R25, R26, R27, R28, R29, R30, R31, R32, R33, R34, R37, R39, R42, R43, R46, R47, R49, R51, R52</t>
  </si>
  <si>
    <t>RES SMD 10K Ohm 1% 1/10W 0603</t>
  </si>
  <si>
    <t>Res-0603</t>
  </si>
  <si>
    <t>RC0603FR-0710KL</t>
  </si>
  <si>
    <t>C98220</t>
  </si>
  <si>
    <t>10K</t>
  </si>
  <si>
    <t>R2, R3, R23, R35, R36</t>
  </si>
  <si>
    <t>RES 4.7K OHM 1% 1/16W 0402</t>
  </si>
  <si>
    <t>Res-0402</t>
  </si>
  <si>
    <t>RC0402FR-074K7L</t>
  </si>
  <si>
    <t>C105871</t>
  </si>
  <si>
    <t>4.7K</t>
  </si>
  <si>
    <t>R4, R5</t>
  </si>
  <si>
    <t>RES 5.1K OHM 1% 1/16W 0402</t>
  </si>
  <si>
    <t>RC0402FR-075K1L</t>
  </si>
  <si>
    <t>C105872</t>
  </si>
  <si>
    <t>5.1K</t>
  </si>
  <si>
    <t>R6</t>
  </si>
  <si>
    <t>RES SMD 1M OHM 1% 1/10W 0603</t>
  </si>
  <si>
    <t>RC0603FR-071ML</t>
  </si>
  <si>
    <t>C105578</t>
  </si>
  <si>
    <t>1M</t>
  </si>
  <si>
    <t>R8</t>
  </si>
  <si>
    <t>Res-1206</t>
  </si>
  <si>
    <t>C163357</t>
  </si>
  <si>
    <t>R9, R16</t>
  </si>
  <si>
    <t>RES 120 OHM 1% 1/10W 0603</t>
  </si>
  <si>
    <t>RC0603FR-07120RL</t>
  </si>
  <si>
    <t>C114640</t>
  </si>
  <si>
    <t>120R</t>
  </si>
  <si>
    <t>R10, R11, R12, R13, R14, R15, R17, R18, R19, R20, R21, R22</t>
  </si>
  <si>
    <t>RES SMD 4.7K OHM 1% 1/10W 0603</t>
  </si>
  <si>
    <t>RC0603FR-074K7L</t>
  </si>
  <si>
    <t>C99782</t>
  </si>
  <si>
    <t>R38, R40, R41, R44, R45, R48, R50</t>
  </si>
  <si>
    <t>RES 470 OHM 1% 1/10W 0603</t>
  </si>
  <si>
    <t>RC0603FR-07470RL</t>
  </si>
  <si>
    <t>C114669</t>
  </si>
  <si>
    <t>470R</t>
  </si>
  <si>
    <t>Switch</t>
  </si>
  <si>
    <t>SW1, SW2</t>
  </si>
  <si>
    <t>No NO 50mA 4.5mm 100000 260gf 12V -30℃~+85℃ 4.5mm 4.3mm Black Round Button Brick nogging SPST SMD Tactile Switches ROHS</t>
  </si>
  <si>
    <t>TS-1109S-C-B</t>
  </si>
  <si>
    <t>XKB Connectivity</t>
  </si>
  <si>
    <t>C381037</t>
  </si>
  <si>
    <t>Tactile Switche</t>
  </si>
  <si>
    <t>SW3, SW4, SW5, SW6, SW7, SW8</t>
  </si>
  <si>
    <t>SWITCH TACTILE SPST-NO 0.05A 24V</t>
  </si>
  <si>
    <t>B3F-4055</t>
  </si>
  <si>
    <t>Omron</t>
  </si>
  <si>
    <t>C84931</t>
  </si>
  <si>
    <t>Module</t>
  </si>
  <si>
    <t>U1</t>
  </si>
  <si>
    <t>Power supply module ROHS</t>
  </si>
  <si>
    <t>LHE10-20D0512-02</t>
  </si>
  <si>
    <t>LZTEC</t>
  </si>
  <si>
    <t>C19192878</t>
  </si>
  <si>
    <t>IC</t>
  </si>
  <si>
    <t>U2</t>
  </si>
  <si>
    <t>SOT-223 Linear Voltage Regulators (LDO) ROHS</t>
  </si>
  <si>
    <t>SOT- 223</t>
  </si>
  <si>
    <t>AMS1117-3.3</t>
  </si>
  <si>
    <t>GUOXIN JIAPIN SEMICONDUCTOR</t>
  </si>
  <si>
    <t>C2992570</t>
  </si>
  <si>
    <t>U3</t>
  </si>
  <si>
    <t>RF TXRX MOD BLUETOOTH U.FL SMD</t>
  </si>
  <si>
    <t>41-SMD UFL Module</t>
  </si>
  <si>
    <t>ESP32-S3-WROOM-1U-N16R8</t>
  </si>
  <si>
    <t>Espressif Systems</t>
  </si>
  <si>
    <t>C3013946</t>
  </si>
  <si>
    <t>U4</t>
  </si>
  <si>
    <t>IC LED DRV RGLTR PWM 1.8A SC70-5</t>
  </si>
  <si>
    <t>SC70-5</t>
  </si>
  <si>
    <t>TPS61169DCKR</t>
  </si>
  <si>
    <t>C71045</t>
  </si>
  <si>
    <t>U5, U6</t>
  </si>
  <si>
    <t>SOP-8 RS-485/RS-422 ICs ROHS</t>
  </si>
  <si>
    <t>SOP-8</t>
  </si>
  <si>
    <t>SP3485EIM/TR</t>
  </si>
  <si>
    <t>HGSEMI</t>
  </si>
  <si>
    <t>C519086</t>
  </si>
  <si>
    <t>U7</t>
  </si>
  <si>
    <t>IC ADC 16BIT SIGMA-DELTA 10VSSOP</t>
  </si>
  <si>
    <t>VSSOP-10</t>
  </si>
  <si>
    <t>ADS1115IDGSR</t>
  </si>
  <si>
    <t>C37593</t>
  </si>
  <si>
    <t>U8</t>
  </si>
  <si>
    <t>IC TRANSLTR BIDIRECTIONAL 8VSSOP</t>
  </si>
  <si>
    <t>VSSOP-8(3.1x2.1)</t>
  </si>
  <si>
    <t>TXS0102DCUR</t>
  </si>
  <si>
    <t>C53434</t>
  </si>
  <si>
    <t>U9</t>
  </si>
  <si>
    <t>IC XPNDR 1.7MHZ I2C 28SSOP</t>
  </si>
  <si>
    <t>SSOP-28-208mil</t>
  </si>
  <si>
    <t>MCP23017T-E/SS</t>
  </si>
  <si>
    <t>Microchip</t>
  </si>
  <si>
    <t>C558584</t>
  </si>
  <si>
    <t>Varistors</t>
  </si>
  <si>
    <t>VR1</t>
  </si>
  <si>
    <t>775V 405V 300V 470V Plugin Varistors ROHS</t>
  </si>
  <si>
    <t>V300LT20AP</t>
  </si>
  <si>
    <t>Littelfuse</t>
  </si>
  <si>
    <t>C179067</t>
  </si>
  <si>
    <t>Peripheral</t>
  </si>
  <si>
    <t>Push Button</t>
  </si>
  <si>
    <t>Double Push Button Swith with Light on Off Start Stop Momentary Buttons 22mm Waterproof for Electrical Powerboard Panel Box 10A</t>
  </si>
  <si>
    <t xml:space="preserve"> LA155-A</t>
  </si>
  <si>
    <t>Aliexpress</t>
  </si>
  <si>
    <t>原厂说这款不防水，链接描述错误，报价如右图所示一开一闭（高低双键 带灯），电压220V</t>
  </si>
  <si>
    <t>ok</t>
  </si>
  <si>
    <t>Contactor</t>
  </si>
  <si>
    <t>CHINT NXC-50 Contactor 50A  220V Normally open normally closed Kunlun series products</t>
  </si>
  <si>
    <t>NXC-50</t>
  </si>
  <si>
    <t>Breaker</t>
  </si>
  <si>
    <t xml:space="preserve"> GYM9H</t>
  </si>
  <si>
    <t>Oxygen Sensor</t>
  </si>
  <si>
    <t>Industrial Optical DO Meter Dissolved Oxygen Sensor in Water</t>
  </si>
  <si>
    <t>Alibaba</t>
  </si>
  <si>
    <t>报价型号RS-N01-2-20-VW，荧光法溶解氧，485（ModBus 协议）输出，量程 0-20mg/L</t>
  </si>
  <si>
    <t>规格书确认OK</t>
  </si>
  <si>
    <t>PH Sensor</t>
  </si>
  <si>
    <t>Industrial RS485 Online Water ORP PH Sensor</t>
  </si>
  <si>
    <t>报价型号RS-N01-2-201-VW，工业 PH 变送器，485（ModBus 协议）输出，常规复合电极，无温补，不带显示</t>
  </si>
  <si>
    <t>DC Pump</t>
  </si>
  <si>
    <t>1.2 GPM Pump</t>
  </si>
  <si>
    <t>7A108</t>
  </si>
  <si>
    <t xml:space="preserve">Bayite </t>
  </si>
  <si>
    <t>按客户要求改为60W的， 国产</t>
  </si>
  <si>
    <t>Button Caps</t>
  </si>
  <si>
    <t>Switch Accessories / Caps ROHS</t>
  </si>
  <si>
    <t>KTSC-22I</t>
  </si>
  <si>
    <t xml:space="preserve">Diptronics </t>
  </si>
  <si>
    <t>AC Pump</t>
  </si>
  <si>
    <t>N/A 不买不焊</t>
  </si>
  <si>
    <t>LCD Display</t>
  </si>
  <si>
    <t>E43RC-I-RS1071-R</t>
  </si>
  <si>
    <t>Focus LCDs</t>
  </si>
  <si>
    <t>Chipsmall</t>
  </si>
  <si>
    <t>bom型号禁运，报国产。报价型号：ER-TFT043A3-3 ，请确认规格书规格书https://pdf.poe-pcba.com/pdf/s/2024/06/ER-TFT043A3-3_Datasheet.pdf</t>
  </si>
  <si>
    <t>不需要触摸式 LED我们需要在外部环境中使用，因此请确保亮度良好，并符合我共享的链接。此外， 16 位模式可用</t>
  </si>
  <si>
    <t>RES 6.2 OHM 5% 1/4W 1206</t>
  </si>
  <si>
    <t>FRC1206J6R2 TS</t>
  </si>
  <si>
    <t>FOJAN</t>
  </si>
  <si>
    <t>6.2R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</si>
</sst>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0"/>
      <color indexed="13"/>
      <name val="Arial"/>
      <charset val="134"/>
    </font>
    <font>
      <u/>
      <sz val="11"/>
      <color rgb="FF80008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Fill="1"/>
    <xf numFmtId="0" fontId="0" fillId="0" borderId="0" xfId="0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1" fillId="0" borderId="0" xfId="0" applyFont="1" applyFill="1"/>
    <xf numFmtId="0" fontId="6" fillId="0" borderId="2" xfId="1" applyFill="1" applyBorder="1" applyAlignment="1">
      <alignment horizontal="center" vertical="center" wrapText="1"/>
    </xf>
    <xf numFmtId="0" fontId="0" fillId="0" borderId="0" xfId="0" applyAlignment="1"/>
    <xf numFmtId="0" fontId="0" fillId="3" borderId="0" xfId="0" applyFill="1"/>
    <xf numFmtId="0" fontId="7" fillId="0" borderId="2" xfId="0" applyFont="1" applyFill="1" applyBorder="1" applyAlignment="1">
      <alignment horizontal="center" vertical="center" wrapText="1"/>
    </xf>
    <xf numFmtId="0" fontId="0" fillId="0" borderId="0" xfId="0" applyFill="1"/>
    <xf numFmtId="0" fontId="8" fillId="4" borderId="0" xfId="0" applyFont="1" applyFill="1"/>
    <xf numFmtId="0" fontId="9" fillId="0" borderId="2" xfId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cellimag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hipsmall.com/Products/E43RC-I-RS1071-R_31535772.html" TargetMode="External"/><Relationship Id="rId7" Type="http://schemas.openxmlformats.org/officeDocument/2006/relationships/hyperlink" Target="https://www.aliexpress.com/item/1005005715503362.html?gatewayAdapt=glo2vnm" TargetMode="External"/><Relationship Id="rId2" Type="http://schemas.openxmlformats.org/officeDocument/2006/relationships/hyperlink" Target="https://www.alibaba.com/product-detail/Renke-Industrial-Online-Optical-DO-Meter_1600337747124.html" TargetMode="External"/><Relationship Id="rId1" Type="http://schemas.openxmlformats.org/officeDocument/2006/relationships/hyperlink" Target="https://www.alibaba.com/product-detail/Renke-Industrial-RS485-Online-Water-ORP_1600778019882.html?spm=a2700.shop_plgr.41413.20.4baa71218ZjmyF" TargetMode="External"/><Relationship Id="rId6" Type="http://schemas.openxmlformats.org/officeDocument/2006/relationships/hyperlink" Target="https://www.aliexpress.com/item/1005007247339055.html" TargetMode="External"/><Relationship Id="rId5" Type="http://schemas.openxmlformats.org/officeDocument/2006/relationships/hyperlink" Target="https://www.aliexpress.com/item/1005005840205062.html" TargetMode="External"/><Relationship Id="rId4" Type="http://schemas.openxmlformats.org/officeDocument/2006/relationships/hyperlink" Target="https://www.aliexpress.com/i/100500404389124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68"/>
  <sheetViews>
    <sheetView tabSelected="1" topLeftCell="A56" workbookViewId="0">
      <selection activeCell="J71" sqref="J71"/>
    </sheetView>
  </sheetViews>
  <sheetFormatPr defaultColWidth="9" defaultRowHeight="15"/>
  <cols>
    <col min="1" max="1" width="3.140625" style="2" customWidth="1"/>
    <col min="2" max="2" width="14.85546875" style="2" customWidth="1"/>
    <col min="3" max="3" width="16.7109375" customWidth="1"/>
    <col min="4" max="4" width="24.28515625" customWidth="1"/>
    <col min="5" max="5" width="8.42578125" customWidth="1"/>
    <col min="6" max="6" width="16" customWidth="1"/>
    <col min="7" max="7" width="9.42578125" customWidth="1"/>
    <col min="8" max="8" width="9.5703125" customWidth="1"/>
    <col min="9" max="9" width="9.42578125" customWidth="1"/>
    <col min="10" max="10" width="6.140625" customWidth="1"/>
    <col min="11" max="11" width="8.7109375" customWidth="1"/>
    <col min="12" max="12" width="13.42578125" customWidth="1"/>
    <col min="13" max="13" width="47.5703125" customWidth="1"/>
    <col min="14" max="14" width="12.42578125"/>
    <col min="15" max="15" width="24.140625" customWidth="1"/>
    <col min="16" max="16" width="30.42578125" style="3" customWidth="1"/>
    <col min="17" max="17" width="26" customWidth="1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6" s="1" customFormat="1" ht="24">
      <c r="A2" s="5">
        <f>ROW(A2)-ROW($A$1)</f>
        <v>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>
        <v>1</v>
      </c>
      <c r="L2" s="7"/>
      <c r="P2" s="11"/>
    </row>
    <row r="3" spans="1:16" s="1" customFormat="1" ht="96">
      <c r="A3" s="8">
        <f t="shared" ref="A3:A65" si="0">ROW(A3)-ROW($A$1)</f>
        <v>2</v>
      </c>
      <c r="B3" s="9" t="s">
        <v>12</v>
      </c>
      <c r="C3" s="10" t="s">
        <v>21</v>
      </c>
      <c r="D3" s="10" t="s">
        <v>22</v>
      </c>
      <c r="E3" s="10" t="s">
        <v>23</v>
      </c>
      <c r="F3" s="10" t="s">
        <v>24</v>
      </c>
      <c r="G3" s="10" t="s">
        <v>25</v>
      </c>
      <c r="H3" s="10"/>
      <c r="I3" s="10" t="s">
        <v>26</v>
      </c>
      <c r="J3" s="10" t="s">
        <v>27</v>
      </c>
      <c r="K3" s="10">
        <v>30</v>
      </c>
      <c r="L3" s="10"/>
      <c r="P3" s="11"/>
    </row>
    <row r="4" spans="1:16" s="1" customFormat="1" ht="48">
      <c r="A4" s="5">
        <f t="shared" si="0"/>
        <v>3</v>
      </c>
      <c r="B4" s="6" t="s">
        <v>12</v>
      </c>
      <c r="C4" s="7" t="s">
        <v>28</v>
      </c>
      <c r="D4" s="7" t="s">
        <v>29</v>
      </c>
      <c r="E4" s="7" t="s">
        <v>15</v>
      </c>
      <c r="F4" s="7" t="s">
        <v>30</v>
      </c>
      <c r="G4" s="7" t="s">
        <v>31</v>
      </c>
      <c r="H4" s="7"/>
      <c r="I4" s="7" t="s">
        <v>32</v>
      </c>
      <c r="J4" s="7" t="s">
        <v>33</v>
      </c>
      <c r="K4" s="7">
        <v>2</v>
      </c>
      <c r="L4" s="7"/>
      <c r="P4" s="11"/>
    </row>
    <row r="5" spans="1:16" s="1" customFormat="1" ht="25.5">
      <c r="A5" s="8">
        <f t="shared" si="0"/>
        <v>4</v>
      </c>
      <c r="B5" s="9" t="s">
        <v>34</v>
      </c>
      <c r="C5" s="10" t="s">
        <v>35</v>
      </c>
      <c r="D5" s="10" t="s">
        <v>36</v>
      </c>
      <c r="E5" s="10" t="s">
        <v>37</v>
      </c>
      <c r="F5" s="10" t="s">
        <v>38</v>
      </c>
      <c r="G5" s="10" t="s">
        <v>39</v>
      </c>
      <c r="H5" s="10"/>
      <c r="I5" s="10" t="s">
        <v>40</v>
      </c>
      <c r="J5" s="10" t="s">
        <v>41</v>
      </c>
      <c r="K5" s="10">
        <v>1</v>
      </c>
      <c r="L5" s="10"/>
      <c r="P5" s="11"/>
    </row>
    <row r="6" spans="1:16" s="1" customFormat="1" ht="24">
      <c r="A6" s="5">
        <f t="shared" si="0"/>
        <v>5</v>
      </c>
      <c r="B6" s="6" t="s">
        <v>12</v>
      </c>
      <c r="C6" s="7" t="s">
        <v>42</v>
      </c>
      <c r="D6" s="7" t="s">
        <v>43</v>
      </c>
      <c r="E6" s="7" t="s">
        <v>23</v>
      </c>
      <c r="F6" s="7" t="s">
        <v>44</v>
      </c>
      <c r="G6" s="7" t="s">
        <v>25</v>
      </c>
      <c r="H6" s="7"/>
      <c r="I6" s="7" t="s">
        <v>45</v>
      </c>
      <c r="J6" s="7" t="s">
        <v>41</v>
      </c>
      <c r="K6" s="7">
        <v>2</v>
      </c>
      <c r="L6" s="7"/>
      <c r="P6" s="11"/>
    </row>
    <row r="7" spans="1:16" s="1" customFormat="1">
      <c r="A7" s="8">
        <f t="shared" si="0"/>
        <v>6</v>
      </c>
      <c r="B7" s="9" t="s">
        <v>12</v>
      </c>
      <c r="C7" s="10" t="s">
        <v>46</v>
      </c>
      <c r="D7" s="10" t="s">
        <v>47</v>
      </c>
      <c r="E7" s="10" t="s">
        <v>23</v>
      </c>
      <c r="F7" s="10" t="s">
        <v>48</v>
      </c>
      <c r="G7" s="10" t="s">
        <v>49</v>
      </c>
      <c r="H7" s="10"/>
      <c r="I7" s="10" t="s">
        <v>50</v>
      </c>
      <c r="J7" s="10" t="s">
        <v>51</v>
      </c>
      <c r="K7" s="10">
        <v>2</v>
      </c>
      <c r="L7" s="10"/>
      <c r="P7" s="11"/>
    </row>
    <row r="8" spans="1:16" s="1" customFormat="1" ht="24">
      <c r="A8" s="5">
        <f t="shared" si="0"/>
        <v>7</v>
      </c>
      <c r="B8" s="6" t="s">
        <v>12</v>
      </c>
      <c r="C8" s="7" t="s">
        <v>52</v>
      </c>
      <c r="D8" s="7" t="s">
        <v>53</v>
      </c>
      <c r="E8" s="7" t="s">
        <v>23</v>
      </c>
      <c r="F8" s="7" t="s">
        <v>54</v>
      </c>
      <c r="G8" s="7" t="s">
        <v>25</v>
      </c>
      <c r="H8" s="7"/>
      <c r="I8" s="7" t="s">
        <v>55</v>
      </c>
      <c r="J8" s="7" t="s">
        <v>56</v>
      </c>
      <c r="K8" s="7">
        <v>2</v>
      </c>
      <c r="L8" s="7"/>
      <c r="P8" s="11"/>
    </row>
    <row r="9" spans="1:16" s="1" customFormat="1" ht="24">
      <c r="A9" s="8">
        <f t="shared" si="0"/>
        <v>8</v>
      </c>
      <c r="B9" s="9" t="s">
        <v>12</v>
      </c>
      <c r="C9" s="10" t="s">
        <v>57</v>
      </c>
      <c r="D9" s="10" t="s">
        <v>58</v>
      </c>
      <c r="E9" s="10" t="s">
        <v>59</v>
      </c>
      <c r="F9" s="10" t="s">
        <v>60</v>
      </c>
      <c r="G9" s="10" t="s">
        <v>25</v>
      </c>
      <c r="H9" s="10"/>
      <c r="I9" s="10" t="s">
        <v>61</v>
      </c>
      <c r="J9" s="10" t="s">
        <v>62</v>
      </c>
      <c r="K9" s="10">
        <v>1</v>
      </c>
      <c r="L9" s="10"/>
      <c r="P9" s="11"/>
    </row>
    <row r="10" spans="1:16" s="1" customFormat="1" ht="36">
      <c r="A10" s="5">
        <f t="shared" si="0"/>
        <v>9</v>
      </c>
      <c r="B10" s="6" t="s">
        <v>63</v>
      </c>
      <c r="C10" s="7" t="s">
        <v>64</v>
      </c>
      <c r="D10" s="7" t="s">
        <v>65</v>
      </c>
      <c r="E10" s="7" t="s">
        <v>66</v>
      </c>
      <c r="F10" s="7" t="s">
        <v>67</v>
      </c>
      <c r="G10" s="7" t="s">
        <v>68</v>
      </c>
      <c r="H10" s="7"/>
      <c r="I10" s="7" t="s">
        <v>69</v>
      </c>
      <c r="J10" s="7" t="s">
        <v>18</v>
      </c>
      <c r="K10" s="7">
        <v>1</v>
      </c>
      <c r="L10" s="7"/>
      <c r="M10"/>
      <c r="O10"/>
      <c r="P10" s="11"/>
    </row>
    <row r="11" spans="1:16" s="1" customFormat="1" ht="36">
      <c r="A11" s="8">
        <f t="shared" si="0"/>
        <v>10</v>
      </c>
      <c r="B11" s="9" t="s">
        <v>63</v>
      </c>
      <c r="C11" s="10" t="s">
        <v>70</v>
      </c>
      <c r="D11" s="10" t="s">
        <v>71</v>
      </c>
      <c r="E11" s="10" t="s">
        <v>66</v>
      </c>
      <c r="F11" s="10" t="s">
        <v>72</v>
      </c>
      <c r="G11" s="10" t="s">
        <v>68</v>
      </c>
      <c r="H11" s="10"/>
      <c r="I11" s="10" t="s">
        <v>73</v>
      </c>
      <c r="J11" s="10"/>
      <c r="K11" s="10">
        <v>1</v>
      </c>
      <c r="L11" s="10"/>
      <c r="M11"/>
      <c r="O11"/>
      <c r="P11" s="11"/>
    </row>
    <row r="12" spans="1:16" s="1" customFormat="1" ht="36">
      <c r="A12" s="5">
        <f t="shared" si="0"/>
        <v>11</v>
      </c>
      <c r="B12" s="6"/>
      <c r="C12" s="7" t="s">
        <v>74</v>
      </c>
      <c r="D12" s="7" t="s">
        <v>75</v>
      </c>
      <c r="E12" s="7" t="s">
        <v>76</v>
      </c>
      <c r="F12" s="7" t="s">
        <v>77</v>
      </c>
      <c r="G12" s="7" t="s">
        <v>78</v>
      </c>
      <c r="H12" s="7"/>
      <c r="I12" s="7" t="s">
        <v>79</v>
      </c>
      <c r="J12" s="7"/>
      <c r="K12" s="7">
        <v>1</v>
      </c>
      <c r="L12" s="7"/>
      <c r="M12"/>
      <c r="O12"/>
      <c r="P12" s="11"/>
    </row>
    <row r="13" spans="1:16" s="1" customFormat="1" ht="36">
      <c r="A13" s="8">
        <f t="shared" si="0"/>
        <v>12</v>
      </c>
      <c r="B13" s="9" t="s">
        <v>80</v>
      </c>
      <c r="C13" s="10" t="s">
        <v>81</v>
      </c>
      <c r="D13" s="10" t="s">
        <v>82</v>
      </c>
      <c r="E13" s="10" t="s">
        <v>83</v>
      </c>
      <c r="F13" s="10" t="s">
        <v>84</v>
      </c>
      <c r="G13" s="10" t="s">
        <v>85</v>
      </c>
      <c r="H13" s="10"/>
      <c r="I13" s="10" t="s">
        <v>86</v>
      </c>
      <c r="J13" s="10"/>
      <c r="K13" s="10">
        <v>1</v>
      </c>
      <c r="L13" s="10"/>
      <c r="M13"/>
      <c r="O13"/>
      <c r="P13" s="11"/>
    </row>
    <row r="14" spans="1:16" s="1" customFormat="1" ht="36">
      <c r="A14" s="5">
        <f t="shared" si="0"/>
        <v>13</v>
      </c>
      <c r="B14" s="6" t="s">
        <v>87</v>
      </c>
      <c r="C14" s="7" t="s">
        <v>88</v>
      </c>
      <c r="D14" s="7" t="s">
        <v>89</v>
      </c>
      <c r="E14" s="7" t="s">
        <v>90</v>
      </c>
      <c r="F14" s="7" t="s">
        <v>91</v>
      </c>
      <c r="G14" s="7" t="s">
        <v>92</v>
      </c>
      <c r="H14" s="7"/>
      <c r="I14" s="7" t="s">
        <v>93</v>
      </c>
      <c r="J14" s="7"/>
      <c r="K14" s="7">
        <v>1</v>
      </c>
      <c r="L14" s="7"/>
      <c r="M14"/>
      <c r="O14"/>
      <c r="P14" s="11"/>
    </row>
    <row r="15" spans="1:16" s="1" customFormat="1" ht="48">
      <c r="A15" s="8">
        <f t="shared" si="0"/>
        <v>14</v>
      </c>
      <c r="B15" s="9" t="s">
        <v>63</v>
      </c>
      <c r="C15" s="10" t="s">
        <v>94</v>
      </c>
      <c r="D15" s="10" t="s">
        <v>95</v>
      </c>
      <c r="E15" s="10" t="s">
        <v>96</v>
      </c>
      <c r="F15" s="10" t="s">
        <v>97</v>
      </c>
      <c r="G15" s="10" t="s">
        <v>98</v>
      </c>
      <c r="H15" s="10"/>
      <c r="I15" s="10" t="s">
        <v>99</v>
      </c>
      <c r="J15" s="10"/>
      <c r="K15" s="10">
        <v>4</v>
      </c>
      <c r="L15" s="10"/>
      <c r="M15"/>
      <c r="O15"/>
      <c r="P15" s="11"/>
    </row>
    <row r="16" spans="1:16" s="1" customFormat="1" ht="24">
      <c r="A16" s="5">
        <f t="shared" si="0"/>
        <v>15</v>
      </c>
      <c r="B16" s="6" t="s">
        <v>80</v>
      </c>
      <c r="C16" s="7" t="s">
        <v>100</v>
      </c>
      <c r="D16" s="7" t="s">
        <v>101</v>
      </c>
      <c r="E16" s="7" t="s">
        <v>102</v>
      </c>
      <c r="F16" s="7" t="s">
        <v>103</v>
      </c>
      <c r="G16" s="7" t="s">
        <v>104</v>
      </c>
      <c r="H16" s="7"/>
      <c r="I16" s="7" t="s">
        <v>105</v>
      </c>
      <c r="J16" s="7"/>
      <c r="K16" s="7">
        <v>7</v>
      </c>
      <c r="L16" s="7"/>
      <c r="M16"/>
      <c r="O16"/>
      <c r="P16" s="11"/>
    </row>
    <row r="17" spans="1:16" s="1" customFormat="1" ht="24">
      <c r="A17" s="8">
        <f t="shared" si="0"/>
        <v>16</v>
      </c>
      <c r="B17" s="9" t="s">
        <v>106</v>
      </c>
      <c r="C17" s="10" t="s">
        <v>107</v>
      </c>
      <c r="D17" s="10" t="s">
        <v>108</v>
      </c>
      <c r="E17" s="10" t="s">
        <v>15</v>
      </c>
      <c r="F17" s="10" t="s">
        <v>109</v>
      </c>
      <c r="G17" s="10" t="s">
        <v>110</v>
      </c>
      <c r="H17" s="10"/>
      <c r="I17" s="10" t="s">
        <v>111</v>
      </c>
      <c r="J17" s="10"/>
      <c r="K17" s="10">
        <v>1</v>
      </c>
      <c r="L17" s="10"/>
      <c r="P17" s="11"/>
    </row>
    <row r="18" spans="1:16" s="1" customFormat="1" ht="36">
      <c r="A18" s="5">
        <f t="shared" si="0"/>
        <v>17</v>
      </c>
      <c r="B18" s="6" t="s">
        <v>106</v>
      </c>
      <c r="C18" s="7" t="s">
        <v>112</v>
      </c>
      <c r="D18" s="7" t="s">
        <v>113</v>
      </c>
      <c r="E18" s="7" t="s">
        <v>114</v>
      </c>
      <c r="F18" s="7" t="s">
        <v>115</v>
      </c>
      <c r="G18" s="7" t="s">
        <v>116</v>
      </c>
      <c r="H18" s="7"/>
      <c r="I18" s="7" t="s">
        <v>117</v>
      </c>
      <c r="J18" s="7"/>
      <c r="K18" s="7">
        <v>1</v>
      </c>
      <c r="L18" s="7"/>
      <c r="P18" s="11"/>
    </row>
    <row r="19" spans="1:16" s="1" customFormat="1" ht="24">
      <c r="A19" s="8">
        <f t="shared" si="0"/>
        <v>18</v>
      </c>
      <c r="B19" s="9" t="s">
        <v>106</v>
      </c>
      <c r="C19" s="10" t="s">
        <v>118</v>
      </c>
      <c r="D19" s="10" t="s">
        <v>119</v>
      </c>
      <c r="E19" s="10" t="s">
        <v>120</v>
      </c>
      <c r="F19" s="10" t="s">
        <v>121</v>
      </c>
      <c r="G19" s="10" t="s">
        <v>122</v>
      </c>
      <c r="H19" s="10"/>
      <c r="I19" s="10" t="s">
        <v>123</v>
      </c>
      <c r="J19" s="10"/>
      <c r="K19" s="10">
        <v>4</v>
      </c>
      <c r="L19" s="10"/>
      <c r="P19" s="11"/>
    </row>
    <row r="20" spans="1:16" s="1" customFormat="1" ht="36">
      <c r="A20" s="5">
        <f t="shared" si="0"/>
        <v>19</v>
      </c>
      <c r="B20" s="6" t="s">
        <v>124</v>
      </c>
      <c r="C20" s="7" t="s">
        <v>125</v>
      </c>
      <c r="D20" s="7" t="s">
        <v>126</v>
      </c>
      <c r="E20" s="7" t="s">
        <v>127</v>
      </c>
      <c r="F20" s="7" t="s">
        <v>128</v>
      </c>
      <c r="G20" s="7" t="s">
        <v>129</v>
      </c>
      <c r="H20" s="7"/>
      <c r="I20" s="7" t="s">
        <v>130</v>
      </c>
      <c r="J20" s="7"/>
      <c r="K20" s="7">
        <v>1</v>
      </c>
      <c r="L20" s="7"/>
      <c r="P20" s="11"/>
    </row>
    <row r="21" spans="1:16" s="1" customFormat="1" ht="60">
      <c r="A21" s="8">
        <f t="shared" si="0"/>
        <v>20</v>
      </c>
      <c r="B21" s="9" t="s">
        <v>131</v>
      </c>
      <c r="C21" s="10" t="s">
        <v>132</v>
      </c>
      <c r="D21" s="10" t="s">
        <v>133</v>
      </c>
      <c r="E21" s="10" t="s">
        <v>15</v>
      </c>
      <c r="F21" s="10" t="s">
        <v>134</v>
      </c>
      <c r="G21" s="10" t="s">
        <v>135</v>
      </c>
      <c r="H21" s="10"/>
      <c r="I21" s="10" t="s">
        <v>136</v>
      </c>
      <c r="J21" s="10"/>
      <c r="K21" s="10">
        <v>1</v>
      </c>
      <c r="L21" s="10"/>
      <c r="M21"/>
      <c r="O21"/>
      <c r="P21" s="11"/>
    </row>
    <row r="22" spans="1:16" s="1" customFormat="1" ht="60">
      <c r="A22" s="5">
        <f t="shared" si="0"/>
        <v>21</v>
      </c>
      <c r="B22" s="6" t="s">
        <v>131</v>
      </c>
      <c r="C22" s="7" t="s">
        <v>137</v>
      </c>
      <c r="D22" s="7" t="s">
        <v>138</v>
      </c>
      <c r="E22" s="10" t="s">
        <v>15</v>
      </c>
      <c r="F22" s="7" t="s">
        <v>139</v>
      </c>
      <c r="G22" s="7" t="s">
        <v>135</v>
      </c>
      <c r="H22" s="7"/>
      <c r="I22" s="7" t="s">
        <v>140</v>
      </c>
      <c r="J22" s="7"/>
      <c r="K22" s="7">
        <v>3</v>
      </c>
      <c r="L22" s="7"/>
      <c r="M22"/>
      <c r="O22"/>
      <c r="P22" s="11"/>
    </row>
    <row r="23" spans="1:16" s="1" customFormat="1" ht="24">
      <c r="A23" s="8">
        <f t="shared" si="0"/>
        <v>22</v>
      </c>
      <c r="B23" s="9" t="s">
        <v>141</v>
      </c>
      <c r="C23" s="10" t="s">
        <v>142</v>
      </c>
      <c r="D23" s="10" t="s">
        <v>143</v>
      </c>
      <c r="E23" s="10" t="s">
        <v>15</v>
      </c>
      <c r="F23" s="10" t="s">
        <v>144</v>
      </c>
      <c r="G23" s="10" t="s">
        <v>145</v>
      </c>
      <c r="H23" s="10"/>
      <c r="I23" s="10" t="s">
        <v>146</v>
      </c>
      <c r="J23" s="10"/>
      <c r="K23" s="10">
        <v>1</v>
      </c>
      <c r="L23" s="10"/>
      <c r="M23"/>
      <c r="O23"/>
      <c r="P23" s="11"/>
    </row>
    <row r="24" spans="1:16" s="1" customFormat="1" ht="25.5">
      <c r="A24" s="5">
        <f t="shared" si="0"/>
        <v>23</v>
      </c>
      <c r="B24" s="6" t="s">
        <v>147</v>
      </c>
      <c r="C24" s="7" t="s">
        <v>148</v>
      </c>
      <c r="D24" s="7" t="s">
        <v>149</v>
      </c>
      <c r="E24" s="10" t="s">
        <v>15</v>
      </c>
      <c r="F24" s="7" t="s">
        <v>150</v>
      </c>
      <c r="G24" s="7" t="s">
        <v>151</v>
      </c>
      <c r="H24" s="7"/>
      <c r="I24" s="7" t="s">
        <v>152</v>
      </c>
      <c r="J24" s="7"/>
      <c r="K24" s="7">
        <v>1</v>
      </c>
      <c r="L24" s="7"/>
      <c r="M24"/>
      <c r="O24"/>
      <c r="P24" s="11"/>
    </row>
    <row r="25" spans="1:16" s="1" customFormat="1" ht="36">
      <c r="A25" s="8">
        <f t="shared" si="0"/>
        <v>24</v>
      </c>
      <c r="B25" s="9" t="s">
        <v>153</v>
      </c>
      <c r="C25" s="10" t="s">
        <v>154</v>
      </c>
      <c r="D25" s="10" t="s">
        <v>155</v>
      </c>
      <c r="E25" s="10" t="s">
        <v>15</v>
      </c>
      <c r="F25" s="10" t="s">
        <v>156</v>
      </c>
      <c r="G25" s="10" t="s">
        <v>157</v>
      </c>
      <c r="H25" s="10"/>
      <c r="I25" s="10" t="s">
        <v>156</v>
      </c>
      <c r="J25" s="10"/>
      <c r="K25" s="10">
        <v>1</v>
      </c>
      <c r="L25" s="10"/>
      <c r="M25"/>
      <c r="O25"/>
      <c r="P25" s="11"/>
    </row>
    <row r="26" spans="1:16" s="1" customFormat="1" ht="36">
      <c r="A26" s="5">
        <f t="shared" si="0"/>
        <v>25</v>
      </c>
      <c r="B26" s="6" t="s">
        <v>158</v>
      </c>
      <c r="C26" s="7" t="s">
        <v>159</v>
      </c>
      <c r="D26" s="7" t="s">
        <v>160</v>
      </c>
      <c r="E26" s="10" t="s">
        <v>15</v>
      </c>
      <c r="F26" s="7" t="s">
        <v>161</v>
      </c>
      <c r="G26" s="7" t="s">
        <v>162</v>
      </c>
      <c r="H26" s="7"/>
      <c r="I26" s="7" t="s">
        <v>163</v>
      </c>
      <c r="J26" s="7"/>
      <c r="K26" s="7">
        <v>1</v>
      </c>
      <c r="L26" s="7"/>
      <c r="M26"/>
      <c r="O26"/>
      <c r="P26" s="11"/>
    </row>
    <row r="27" spans="1:16" s="1" customFormat="1" ht="72">
      <c r="A27" s="8">
        <f t="shared" si="0"/>
        <v>26</v>
      </c>
      <c r="B27" s="9" t="s">
        <v>164</v>
      </c>
      <c r="C27" s="10" t="s">
        <v>165</v>
      </c>
      <c r="D27" s="10" t="s">
        <v>166</v>
      </c>
      <c r="E27" s="10" t="s">
        <v>167</v>
      </c>
      <c r="F27" s="10" t="s">
        <v>168</v>
      </c>
      <c r="G27" s="10" t="s">
        <v>169</v>
      </c>
      <c r="H27" s="10"/>
      <c r="I27" s="10" t="s">
        <v>170</v>
      </c>
      <c r="J27" s="10"/>
      <c r="K27" s="10">
        <v>2</v>
      </c>
      <c r="L27" s="10"/>
      <c r="M27"/>
      <c r="O27"/>
      <c r="P27" s="11"/>
    </row>
    <row r="28" spans="1:16" s="1" customFormat="1" ht="24">
      <c r="A28" s="5">
        <f t="shared" si="0"/>
        <v>27</v>
      </c>
      <c r="B28" s="6" t="s">
        <v>171</v>
      </c>
      <c r="C28" s="7" t="s">
        <v>172</v>
      </c>
      <c r="D28" s="7" t="s">
        <v>173</v>
      </c>
      <c r="E28" s="7" t="s">
        <v>15</v>
      </c>
      <c r="F28" s="7">
        <v>1715747</v>
      </c>
      <c r="G28" s="7" t="s">
        <v>174</v>
      </c>
      <c r="H28" s="7"/>
      <c r="I28" s="7" t="s">
        <v>175</v>
      </c>
      <c r="J28" s="7"/>
      <c r="K28" s="7">
        <v>2</v>
      </c>
      <c r="L28" s="7"/>
      <c r="M28" t="s">
        <v>176</v>
      </c>
      <c r="O28"/>
      <c r="P28" s="11"/>
    </row>
    <row r="29" spans="1:16" s="1" customFormat="1" ht="60">
      <c r="A29" s="8">
        <f t="shared" si="0"/>
        <v>28</v>
      </c>
      <c r="B29" s="9" t="s">
        <v>131</v>
      </c>
      <c r="C29" s="10" t="s">
        <v>177</v>
      </c>
      <c r="D29" s="10" t="s">
        <v>178</v>
      </c>
      <c r="E29" s="7" t="s">
        <v>15</v>
      </c>
      <c r="F29" s="10" t="s">
        <v>179</v>
      </c>
      <c r="G29" s="10" t="s">
        <v>180</v>
      </c>
      <c r="H29" s="10"/>
      <c r="I29" s="10" t="s">
        <v>181</v>
      </c>
      <c r="J29" s="10"/>
      <c r="K29" s="10">
        <v>1</v>
      </c>
      <c r="L29" s="10"/>
      <c r="M29"/>
      <c r="O29"/>
      <c r="P29" s="11"/>
    </row>
    <row r="30" spans="1:16" s="1" customFormat="1" ht="60">
      <c r="A30" s="5">
        <f t="shared" si="0"/>
        <v>29</v>
      </c>
      <c r="B30" s="6" t="s">
        <v>131</v>
      </c>
      <c r="C30" s="7" t="s">
        <v>182</v>
      </c>
      <c r="D30" s="7" t="s">
        <v>183</v>
      </c>
      <c r="E30" s="7" t="s">
        <v>15</v>
      </c>
      <c r="F30" s="7" t="s">
        <v>184</v>
      </c>
      <c r="G30" s="7" t="s">
        <v>135</v>
      </c>
      <c r="H30" s="7"/>
      <c r="I30" s="7" t="s">
        <v>185</v>
      </c>
      <c r="J30" s="7"/>
      <c r="K30" s="7">
        <v>5</v>
      </c>
      <c r="L30" s="7"/>
      <c r="M30"/>
      <c r="O30"/>
      <c r="P30" s="11"/>
    </row>
    <row r="31" spans="1:16" s="1" customFormat="1" ht="60">
      <c r="A31" s="8">
        <f t="shared" si="0"/>
        <v>30</v>
      </c>
      <c r="B31" s="9" t="s">
        <v>131</v>
      </c>
      <c r="C31" s="10" t="s">
        <v>186</v>
      </c>
      <c r="D31" s="10" t="s">
        <v>187</v>
      </c>
      <c r="E31" s="7" t="s">
        <v>15</v>
      </c>
      <c r="F31" s="10" t="s">
        <v>188</v>
      </c>
      <c r="G31" s="10" t="s">
        <v>135</v>
      </c>
      <c r="H31" s="10"/>
      <c r="I31" s="10" t="s">
        <v>189</v>
      </c>
      <c r="J31" s="10"/>
      <c r="K31" s="10">
        <v>1</v>
      </c>
      <c r="L31" s="10"/>
      <c r="M31"/>
      <c r="O31"/>
      <c r="P31" s="11"/>
    </row>
    <row r="32" spans="1:16" s="1" customFormat="1" ht="36">
      <c r="A32" s="5">
        <f t="shared" si="0"/>
        <v>31</v>
      </c>
      <c r="B32" s="6" t="s">
        <v>190</v>
      </c>
      <c r="C32" s="7" t="s">
        <v>191</v>
      </c>
      <c r="D32" s="7" t="s">
        <v>192</v>
      </c>
      <c r="E32" s="7" t="s">
        <v>15</v>
      </c>
      <c r="F32" s="7" t="s">
        <v>193</v>
      </c>
      <c r="G32" s="7" t="s">
        <v>194</v>
      </c>
      <c r="H32" s="7"/>
      <c r="I32" s="7" t="s">
        <v>195</v>
      </c>
      <c r="J32" s="7"/>
      <c r="K32" s="7">
        <v>3</v>
      </c>
      <c r="L32" s="7"/>
      <c r="M32"/>
      <c r="O32"/>
      <c r="P32" s="11"/>
    </row>
    <row r="33" spans="1:16" s="1" customFormat="1" ht="36">
      <c r="A33" s="8">
        <f t="shared" si="0"/>
        <v>32</v>
      </c>
      <c r="B33" s="9" t="s">
        <v>196</v>
      </c>
      <c r="C33" s="10" t="s">
        <v>197</v>
      </c>
      <c r="D33" s="10" t="s">
        <v>198</v>
      </c>
      <c r="E33" s="7" t="s">
        <v>15</v>
      </c>
      <c r="F33" s="10" t="s">
        <v>199</v>
      </c>
      <c r="G33" s="10" t="s">
        <v>194</v>
      </c>
      <c r="H33" s="10"/>
      <c r="I33" s="10" t="s">
        <v>200</v>
      </c>
      <c r="J33" s="10"/>
      <c r="K33" s="10">
        <v>2</v>
      </c>
      <c r="L33" s="10"/>
      <c r="M33"/>
      <c r="O33"/>
      <c r="P33" s="11"/>
    </row>
    <row r="34" spans="1:16" s="1" customFormat="1" ht="48">
      <c r="A34" s="5">
        <f t="shared" si="0"/>
        <v>33</v>
      </c>
      <c r="B34" s="6" t="s">
        <v>196</v>
      </c>
      <c r="C34" s="7" t="s">
        <v>201</v>
      </c>
      <c r="D34" s="7" t="s">
        <v>202</v>
      </c>
      <c r="E34" s="7" t="s">
        <v>15</v>
      </c>
      <c r="F34" s="7" t="s">
        <v>203</v>
      </c>
      <c r="G34" s="7" t="s">
        <v>194</v>
      </c>
      <c r="H34" s="7"/>
      <c r="I34" s="7" t="s">
        <v>204</v>
      </c>
      <c r="J34" s="7"/>
      <c r="K34" s="7">
        <v>2</v>
      </c>
      <c r="L34" s="7"/>
      <c r="M34"/>
      <c r="O34"/>
      <c r="P34" s="11"/>
    </row>
    <row r="35" spans="1:16" s="1" customFormat="1" ht="24">
      <c r="A35" s="8">
        <f t="shared" si="0"/>
        <v>34</v>
      </c>
      <c r="B35" s="9" t="s">
        <v>205</v>
      </c>
      <c r="C35" s="10" t="s">
        <v>206</v>
      </c>
      <c r="D35" s="10" t="s">
        <v>207</v>
      </c>
      <c r="E35" s="7" t="s">
        <v>15</v>
      </c>
      <c r="F35" s="10" t="s">
        <v>208</v>
      </c>
      <c r="G35" s="10" t="s">
        <v>209</v>
      </c>
      <c r="H35" s="10"/>
      <c r="I35" s="10" t="s">
        <v>210</v>
      </c>
      <c r="J35" s="10" t="s">
        <v>211</v>
      </c>
      <c r="K35" s="10">
        <v>1</v>
      </c>
      <c r="L35" s="10"/>
      <c r="P35" s="11"/>
    </row>
    <row r="36" spans="1:16" s="1" customFormat="1" ht="72">
      <c r="A36" s="5">
        <f t="shared" si="0"/>
        <v>35</v>
      </c>
      <c r="B36" s="6" t="s">
        <v>212</v>
      </c>
      <c r="C36" s="7" t="s">
        <v>213</v>
      </c>
      <c r="D36" s="7" t="s">
        <v>214</v>
      </c>
      <c r="E36" s="7" t="s">
        <v>215</v>
      </c>
      <c r="F36" s="7" t="s">
        <v>216</v>
      </c>
      <c r="G36" s="7" t="s">
        <v>217</v>
      </c>
      <c r="H36" s="7"/>
      <c r="I36" s="7" t="s">
        <v>218</v>
      </c>
      <c r="J36" s="7" t="s">
        <v>18</v>
      </c>
      <c r="K36" s="7">
        <v>2</v>
      </c>
      <c r="L36" s="7"/>
      <c r="M36"/>
      <c r="O36"/>
      <c r="P36" s="11"/>
    </row>
    <row r="37" spans="1:16" s="1" customFormat="1" ht="24">
      <c r="A37" s="8">
        <f t="shared" si="0"/>
        <v>36</v>
      </c>
      <c r="B37" s="9" t="s">
        <v>212</v>
      </c>
      <c r="C37" s="10" t="s">
        <v>219</v>
      </c>
      <c r="D37" s="10" t="s">
        <v>220</v>
      </c>
      <c r="E37" s="10" t="s">
        <v>221</v>
      </c>
      <c r="F37" s="10" t="s">
        <v>222</v>
      </c>
      <c r="G37" s="10" t="s">
        <v>104</v>
      </c>
      <c r="H37" s="10"/>
      <c r="I37" s="10" t="s">
        <v>223</v>
      </c>
      <c r="J37" s="10" t="s">
        <v>18</v>
      </c>
      <c r="K37" s="10">
        <v>7</v>
      </c>
      <c r="L37" s="10"/>
      <c r="M37"/>
      <c r="O37"/>
      <c r="P37" s="11"/>
    </row>
    <row r="38" spans="1:16" s="1" customFormat="1" ht="72">
      <c r="A38" s="5">
        <f t="shared" si="0"/>
        <v>37</v>
      </c>
      <c r="B38" s="6" t="s">
        <v>224</v>
      </c>
      <c r="C38" s="7" t="s">
        <v>225</v>
      </c>
      <c r="D38" s="7" t="s">
        <v>226</v>
      </c>
      <c r="E38" s="7" t="s">
        <v>227</v>
      </c>
      <c r="F38" s="7" t="s">
        <v>228</v>
      </c>
      <c r="G38" s="7" t="s">
        <v>25</v>
      </c>
      <c r="H38" s="7"/>
      <c r="I38" s="7" t="s">
        <v>229</v>
      </c>
      <c r="J38" s="7" t="s">
        <v>230</v>
      </c>
      <c r="K38" s="7">
        <v>22</v>
      </c>
      <c r="L38" s="7"/>
      <c r="P38" s="11"/>
    </row>
    <row r="39" spans="1:16" s="1" customFormat="1">
      <c r="A39" s="8">
        <f t="shared" si="0"/>
        <v>38</v>
      </c>
      <c r="B39" s="9" t="s">
        <v>224</v>
      </c>
      <c r="C39" s="10" t="s">
        <v>231</v>
      </c>
      <c r="D39" s="10" t="s">
        <v>232</v>
      </c>
      <c r="E39" s="10" t="s">
        <v>233</v>
      </c>
      <c r="F39" s="10" t="s">
        <v>234</v>
      </c>
      <c r="G39" s="10" t="s">
        <v>25</v>
      </c>
      <c r="H39" s="10"/>
      <c r="I39" s="10" t="s">
        <v>235</v>
      </c>
      <c r="J39" s="10" t="s">
        <v>236</v>
      </c>
      <c r="K39" s="10">
        <v>5</v>
      </c>
      <c r="L39" s="10"/>
      <c r="P39" s="11"/>
    </row>
    <row r="40" spans="1:16" s="1" customFormat="1">
      <c r="A40" s="5">
        <f t="shared" si="0"/>
        <v>39</v>
      </c>
      <c r="B40" s="6" t="s">
        <v>224</v>
      </c>
      <c r="C40" s="7" t="s">
        <v>237</v>
      </c>
      <c r="D40" s="7" t="s">
        <v>238</v>
      </c>
      <c r="E40" s="7" t="s">
        <v>233</v>
      </c>
      <c r="F40" s="7" t="s">
        <v>239</v>
      </c>
      <c r="G40" s="7" t="s">
        <v>25</v>
      </c>
      <c r="H40" s="7"/>
      <c r="I40" s="7" t="s">
        <v>240</v>
      </c>
      <c r="J40" s="7" t="s">
        <v>241</v>
      </c>
      <c r="K40" s="7">
        <v>2</v>
      </c>
      <c r="L40" s="7"/>
      <c r="P40" s="11"/>
    </row>
    <row r="41" spans="1:16" s="1" customFormat="1" ht="24">
      <c r="A41" s="8">
        <f t="shared" si="0"/>
        <v>40</v>
      </c>
      <c r="B41" s="9" t="s">
        <v>224</v>
      </c>
      <c r="C41" s="10" t="s">
        <v>242</v>
      </c>
      <c r="D41" s="10" t="s">
        <v>243</v>
      </c>
      <c r="E41" s="10" t="s">
        <v>227</v>
      </c>
      <c r="F41" s="10" t="s">
        <v>244</v>
      </c>
      <c r="G41" s="10" t="s">
        <v>25</v>
      </c>
      <c r="H41" s="10"/>
      <c r="I41" s="10" t="s">
        <v>245</v>
      </c>
      <c r="J41" s="10" t="s">
        <v>246</v>
      </c>
      <c r="K41" s="10">
        <v>1</v>
      </c>
      <c r="L41" s="10"/>
      <c r="P41" s="11"/>
    </row>
    <row r="42" spans="1:16" s="1" customFormat="1">
      <c r="A42" s="21">
        <f t="shared" si="0"/>
        <v>41</v>
      </c>
      <c r="B42" s="22" t="s">
        <v>224</v>
      </c>
      <c r="C42" s="23" t="s">
        <v>247</v>
      </c>
      <c r="D42" s="24" t="s">
        <v>365</v>
      </c>
      <c r="E42" s="23" t="s">
        <v>248</v>
      </c>
      <c r="F42" s="23" t="s">
        <v>366</v>
      </c>
      <c r="G42" s="23" t="s">
        <v>367</v>
      </c>
      <c r="H42" s="23"/>
      <c r="I42" s="23" t="s">
        <v>249</v>
      </c>
      <c r="J42" s="24" t="s">
        <v>368</v>
      </c>
      <c r="K42" s="23">
        <v>1</v>
      </c>
      <c r="L42" s="23"/>
      <c r="P42" s="11"/>
    </row>
    <row r="43" spans="1:16" s="1" customFormat="1">
      <c r="A43" s="8">
        <f t="shared" si="0"/>
        <v>42</v>
      </c>
      <c r="B43" s="9" t="s">
        <v>224</v>
      </c>
      <c r="C43" s="10" t="s">
        <v>250</v>
      </c>
      <c r="D43" s="10" t="s">
        <v>251</v>
      </c>
      <c r="E43" s="10" t="s">
        <v>227</v>
      </c>
      <c r="F43" s="10" t="s">
        <v>252</v>
      </c>
      <c r="G43" s="10" t="s">
        <v>25</v>
      </c>
      <c r="H43" s="10"/>
      <c r="I43" s="10" t="s">
        <v>253</v>
      </c>
      <c r="J43" s="10" t="s">
        <v>254</v>
      </c>
      <c r="K43" s="10">
        <v>2</v>
      </c>
      <c r="L43" s="10"/>
      <c r="P43" s="11"/>
    </row>
    <row r="44" spans="1:16" s="1" customFormat="1" ht="36">
      <c r="A44" s="5">
        <f t="shared" si="0"/>
        <v>43</v>
      </c>
      <c r="B44" s="6" t="s">
        <v>224</v>
      </c>
      <c r="C44" s="7" t="s">
        <v>255</v>
      </c>
      <c r="D44" s="7" t="s">
        <v>256</v>
      </c>
      <c r="E44" s="7" t="s">
        <v>227</v>
      </c>
      <c r="F44" s="7" t="s">
        <v>257</v>
      </c>
      <c r="G44" s="7" t="s">
        <v>25</v>
      </c>
      <c r="H44" s="7"/>
      <c r="I44" s="7" t="s">
        <v>258</v>
      </c>
      <c r="J44" s="7" t="s">
        <v>236</v>
      </c>
      <c r="K44" s="7">
        <v>12</v>
      </c>
      <c r="L44" s="7"/>
      <c r="P44" s="11"/>
    </row>
    <row r="45" spans="1:16" s="1" customFormat="1" ht="24">
      <c r="A45" s="8">
        <f t="shared" si="0"/>
        <v>44</v>
      </c>
      <c r="B45" s="6" t="s">
        <v>224</v>
      </c>
      <c r="C45" s="10" t="s">
        <v>259</v>
      </c>
      <c r="D45" s="10" t="s">
        <v>260</v>
      </c>
      <c r="E45" s="10" t="s">
        <v>227</v>
      </c>
      <c r="F45" s="10" t="s">
        <v>261</v>
      </c>
      <c r="G45" s="10" t="s">
        <v>25</v>
      </c>
      <c r="H45" s="10"/>
      <c r="I45" s="10" t="s">
        <v>262</v>
      </c>
      <c r="J45" s="10" t="s">
        <v>263</v>
      </c>
      <c r="K45" s="10">
        <v>7</v>
      </c>
      <c r="L45" s="10"/>
      <c r="P45" s="11"/>
    </row>
    <row r="46" spans="1:16" s="1" customFormat="1" ht="60">
      <c r="A46" s="5">
        <f t="shared" si="0"/>
        <v>45</v>
      </c>
      <c r="B46" s="6" t="s">
        <v>264</v>
      </c>
      <c r="C46" s="7" t="s">
        <v>265</v>
      </c>
      <c r="D46" s="7" t="s">
        <v>266</v>
      </c>
      <c r="E46" s="7" t="s">
        <v>15</v>
      </c>
      <c r="F46" s="7" t="s">
        <v>267</v>
      </c>
      <c r="G46" s="7" t="s">
        <v>268</v>
      </c>
      <c r="H46" s="7"/>
      <c r="I46" s="7" t="s">
        <v>269</v>
      </c>
      <c r="J46" s="7" t="s">
        <v>18</v>
      </c>
      <c r="K46" s="7">
        <v>2</v>
      </c>
      <c r="L46" s="7"/>
      <c r="M46"/>
      <c r="O46"/>
      <c r="P46" s="11"/>
    </row>
    <row r="47" spans="1:16" s="1" customFormat="1" ht="24">
      <c r="A47" s="8">
        <f t="shared" si="0"/>
        <v>46</v>
      </c>
      <c r="B47" s="9" t="s">
        <v>270</v>
      </c>
      <c r="C47" s="10" t="s">
        <v>271</v>
      </c>
      <c r="D47" s="10" t="s">
        <v>272</v>
      </c>
      <c r="E47" s="7" t="s">
        <v>15</v>
      </c>
      <c r="F47" s="10" t="s">
        <v>273</v>
      </c>
      <c r="G47" s="10" t="s">
        <v>274</v>
      </c>
      <c r="H47" s="10"/>
      <c r="I47" s="10" t="s">
        <v>275</v>
      </c>
      <c r="J47" s="10"/>
      <c r="K47" s="10">
        <v>6</v>
      </c>
      <c r="L47" s="10"/>
      <c r="M47"/>
      <c r="O47"/>
      <c r="P47" s="11"/>
    </row>
    <row r="48" spans="1:16" s="1" customFormat="1">
      <c r="A48" s="5">
        <f t="shared" si="0"/>
        <v>47</v>
      </c>
      <c r="B48" s="6" t="s">
        <v>276</v>
      </c>
      <c r="C48" s="7" t="s">
        <v>277</v>
      </c>
      <c r="D48" s="7" t="s">
        <v>278</v>
      </c>
      <c r="E48" s="7" t="s">
        <v>15</v>
      </c>
      <c r="F48" s="7" t="s">
        <v>279</v>
      </c>
      <c r="G48" s="7" t="s">
        <v>280</v>
      </c>
      <c r="H48" s="7"/>
      <c r="I48" s="7" t="s">
        <v>281</v>
      </c>
      <c r="J48" s="7"/>
      <c r="K48" s="7">
        <v>1</v>
      </c>
      <c r="L48" s="7"/>
      <c r="M48"/>
      <c r="O48"/>
      <c r="P48" s="11"/>
    </row>
    <row r="49" spans="1:16" s="1" customFormat="1" ht="48">
      <c r="A49" s="8">
        <f t="shared" si="0"/>
        <v>48</v>
      </c>
      <c r="B49" s="9" t="s">
        <v>282</v>
      </c>
      <c r="C49" s="10" t="s">
        <v>283</v>
      </c>
      <c r="D49" s="10" t="s">
        <v>284</v>
      </c>
      <c r="E49" s="10" t="s">
        <v>285</v>
      </c>
      <c r="F49" s="10" t="s">
        <v>286</v>
      </c>
      <c r="G49" s="10" t="s">
        <v>287</v>
      </c>
      <c r="H49" s="10"/>
      <c r="I49" s="10" t="s">
        <v>288</v>
      </c>
      <c r="J49" s="10"/>
      <c r="K49" s="10">
        <v>1</v>
      </c>
      <c r="L49" s="10"/>
      <c r="M49"/>
      <c r="O49"/>
      <c r="P49" s="11"/>
    </row>
    <row r="50" spans="1:16" s="1" customFormat="1" ht="36">
      <c r="A50" s="5">
        <f t="shared" si="0"/>
        <v>49</v>
      </c>
      <c r="B50" s="6" t="s">
        <v>282</v>
      </c>
      <c r="C50" s="7" t="s">
        <v>289</v>
      </c>
      <c r="D50" s="7" t="s">
        <v>290</v>
      </c>
      <c r="E50" s="7" t="s">
        <v>291</v>
      </c>
      <c r="F50" s="7" t="s">
        <v>292</v>
      </c>
      <c r="G50" s="7" t="s">
        <v>293</v>
      </c>
      <c r="H50" s="7"/>
      <c r="I50" s="7" t="s">
        <v>294</v>
      </c>
      <c r="J50" s="7"/>
      <c r="K50" s="7">
        <v>1</v>
      </c>
      <c r="L50" s="7"/>
      <c r="M50"/>
      <c r="O50"/>
      <c r="P50" s="11"/>
    </row>
    <row r="51" spans="1:16" s="1" customFormat="1" ht="36">
      <c r="A51" s="8">
        <f t="shared" si="0"/>
        <v>50</v>
      </c>
      <c r="B51" s="9" t="s">
        <v>282</v>
      </c>
      <c r="C51" s="10" t="s">
        <v>295</v>
      </c>
      <c r="D51" s="10" t="s">
        <v>296</v>
      </c>
      <c r="E51" s="10" t="s">
        <v>297</v>
      </c>
      <c r="F51" s="10" t="s">
        <v>298</v>
      </c>
      <c r="G51" s="10" t="s">
        <v>92</v>
      </c>
      <c r="H51" s="10"/>
      <c r="I51" s="10" t="s">
        <v>299</v>
      </c>
      <c r="J51" s="10"/>
      <c r="K51" s="10">
        <v>1</v>
      </c>
      <c r="L51" s="10"/>
      <c r="M51"/>
      <c r="O51"/>
      <c r="P51" s="11"/>
    </row>
    <row r="52" spans="1:16" s="1" customFormat="1">
      <c r="A52" s="5">
        <f t="shared" si="0"/>
        <v>51</v>
      </c>
      <c r="B52" s="6" t="s">
        <v>282</v>
      </c>
      <c r="C52" s="7" t="s">
        <v>300</v>
      </c>
      <c r="D52" s="7" t="s">
        <v>301</v>
      </c>
      <c r="E52" s="7" t="s">
        <v>302</v>
      </c>
      <c r="F52" s="7" t="s">
        <v>303</v>
      </c>
      <c r="G52" s="7" t="s">
        <v>304</v>
      </c>
      <c r="H52" s="7"/>
      <c r="I52" s="7" t="s">
        <v>305</v>
      </c>
      <c r="J52" s="7"/>
      <c r="K52" s="7">
        <v>2</v>
      </c>
      <c r="L52" s="7"/>
      <c r="M52"/>
      <c r="O52"/>
      <c r="P52" s="11"/>
    </row>
    <row r="53" spans="1:16" s="1" customFormat="1" ht="36">
      <c r="A53" s="8">
        <f t="shared" si="0"/>
        <v>52</v>
      </c>
      <c r="B53" s="9" t="s">
        <v>282</v>
      </c>
      <c r="C53" s="10" t="s">
        <v>306</v>
      </c>
      <c r="D53" s="10" t="s">
        <v>307</v>
      </c>
      <c r="E53" s="10" t="s">
        <v>308</v>
      </c>
      <c r="F53" s="10" t="s">
        <v>309</v>
      </c>
      <c r="G53" s="10" t="s">
        <v>92</v>
      </c>
      <c r="H53" s="10"/>
      <c r="I53" s="10" t="s">
        <v>310</v>
      </c>
      <c r="J53" s="10"/>
      <c r="K53" s="10">
        <v>1</v>
      </c>
      <c r="L53" s="10"/>
      <c r="M53"/>
      <c r="O53"/>
      <c r="P53" s="11"/>
    </row>
    <row r="54" spans="1:16" s="1" customFormat="1" ht="36">
      <c r="A54" s="5">
        <f t="shared" si="0"/>
        <v>53</v>
      </c>
      <c r="B54" s="6" t="s">
        <v>282</v>
      </c>
      <c r="C54" s="7" t="s">
        <v>311</v>
      </c>
      <c r="D54" s="7" t="s">
        <v>312</v>
      </c>
      <c r="E54" s="7" t="s">
        <v>313</v>
      </c>
      <c r="F54" s="7" t="s">
        <v>314</v>
      </c>
      <c r="G54" s="7" t="s">
        <v>92</v>
      </c>
      <c r="H54" s="7"/>
      <c r="I54" s="7" t="s">
        <v>315</v>
      </c>
      <c r="J54" s="7"/>
      <c r="K54" s="7">
        <v>1</v>
      </c>
      <c r="L54" s="7"/>
      <c r="M54"/>
      <c r="O54"/>
      <c r="P54" s="11"/>
    </row>
    <row r="55" spans="1:16" s="1" customFormat="1" ht="24">
      <c r="A55" s="8">
        <f t="shared" si="0"/>
        <v>54</v>
      </c>
      <c r="B55" s="9" t="s">
        <v>282</v>
      </c>
      <c r="C55" s="10" t="s">
        <v>316</v>
      </c>
      <c r="D55" s="10" t="s">
        <v>317</v>
      </c>
      <c r="E55" s="10" t="s">
        <v>318</v>
      </c>
      <c r="F55" s="10" t="s">
        <v>319</v>
      </c>
      <c r="G55" s="10" t="s">
        <v>320</v>
      </c>
      <c r="H55" s="10"/>
      <c r="I55" s="10" t="s">
        <v>321</v>
      </c>
      <c r="J55" s="10"/>
      <c r="K55" s="10">
        <v>1</v>
      </c>
      <c r="L55" s="10"/>
      <c r="M55"/>
      <c r="O55"/>
      <c r="P55" s="11"/>
    </row>
    <row r="56" spans="1:16" s="1" customFormat="1" ht="24">
      <c r="A56" s="8">
        <f t="shared" si="0"/>
        <v>55</v>
      </c>
      <c r="B56" s="6" t="s">
        <v>322</v>
      </c>
      <c r="C56" s="7" t="s">
        <v>323</v>
      </c>
      <c r="D56" s="7" t="s">
        <v>324</v>
      </c>
      <c r="E56" s="7" t="s">
        <v>15</v>
      </c>
      <c r="F56" s="7" t="s">
        <v>325</v>
      </c>
      <c r="G56" s="7" t="s">
        <v>326</v>
      </c>
      <c r="H56" s="7"/>
      <c r="I56" s="7" t="s">
        <v>327</v>
      </c>
      <c r="J56" s="7"/>
      <c r="K56" s="7">
        <v>1</v>
      </c>
      <c r="L56" s="7"/>
      <c r="P56" s="11"/>
    </row>
    <row r="57" spans="1:16" s="1" customFormat="1" ht="60">
      <c r="A57" s="8">
        <f t="shared" si="0"/>
        <v>56</v>
      </c>
      <c r="B57" s="6" t="s">
        <v>328</v>
      </c>
      <c r="C57" s="7" t="s">
        <v>329</v>
      </c>
      <c r="D57" s="7" t="s">
        <v>330</v>
      </c>
      <c r="E57" s="7" t="s">
        <v>18</v>
      </c>
      <c r="F57" s="7" t="s">
        <v>331</v>
      </c>
      <c r="G57" s="7" t="s">
        <v>18</v>
      </c>
      <c r="H57" s="7" t="s">
        <v>18</v>
      </c>
      <c r="I57" s="7" t="s">
        <v>18</v>
      </c>
      <c r="J57" s="7" t="s">
        <v>18</v>
      </c>
      <c r="K57" s="7">
        <v>1</v>
      </c>
      <c r="L57" s="12" t="s">
        <v>332</v>
      </c>
      <c r="M57" s="13" t="s">
        <v>333</v>
      </c>
      <c r="N57" t="str">
        <f>_xlfn.DISPIMG("ID_811524982F464C98AD9CF6F4D5402406",1)</f>
        <v>=DISPIMG("ID_811524982F464C98AD9CF6F4D5402406",1)</v>
      </c>
      <c r="O57"/>
      <c r="P57" s="11" t="s">
        <v>334</v>
      </c>
    </row>
    <row r="58" spans="1:16" s="1" customFormat="1" ht="48">
      <c r="A58" s="8">
        <f t="shared" si="0"/>
        <v>57</v>
      </c>
      <c r="B58" s="6" t="s">
        <v>328</v>
      </c>
      <c r="C58" s="7" t="s">
        <v>335</v>
      </c>
      <c r="D58" s="7" t="s">
        <v>336</v>
      </c>
      <c r="E58" s="7" t="s">
        <v>18</v>
      </c>
      <c r="F58" s="7" t="s">
        <v>337</v>
      </c>
      <c r="G58" s="7" t="s">
        <v>18</v>
      </c>
      <c r="H58" s="7" t="s">
        <v>18</v>
      </c>
      <c r="I58" s="7" t="s">
        <v>18</v>
      </c>
      <c r="J58" s="7" t="s">
        <v>18</v>
      </c>
      <c r="K58" s="7">
        <v>1</v>
      </c>
      <c r="L58" s="12" t="s">
        <v>332</v>
      </c>
      <c r="M58"/>
      <c r="N58"/>
      <c r="O58"/>
      <c r="P58" s="11"/>
    </row>
    <row r="59" spans="1:16" s="1" customFormat="1">
      <c r="A59" s="8">
        <f t="shared" si="0"/>
        <v>58</v>
      </c>
      <c r="B59" s="6" t="s">
        <v>328</v>
      </c>
      <c r="C59" s="7" t="s">
        <v>338</v>
      </c>
      <c r="D59" s="7" t="s">
        <v>18</v>
      </c>
      <c r="E59" s="7" t="s">
        <v>18</v>
      </c>
      <c r="F59" s="7" t="s">
        <v>339</v>
      </c>
      <c r="G59" s="7" t="s">
        <v>18</v>
      </c>
      <c r="H59" s="7" t="s">
        <v>18</v>
      </c>
      <c r="I59" s="7" t="s">
        <v>18</v>
      </c>
      <c r="J59" s="7" t="s">
        <v>18</v>
      </c>
      <c r="K59" s="7">
        <v>1</v>
      </c>
      <c r="L59" s="12" t="s">
        <v>332</v>
      </c>
      <c r="M59"/>
      <c r="N59"/>
      <c r="O59"/>
      <c r="P59" s="11"/>
    </row>
    <row r="60" spans="1:16" s="1" customFormat="1" ht="48">
      <c r="A60" s="8">
        <v>71</v>
      </c>
      <c r="B60" s="6" t="s">
        <v>328</v>
      </c>
      <c r="C60" s="7" t="s">
        <v>340</v>
      </c>
      <c r="D60" s="7" t="s">
        <v>18</v>
      </c>
      <c r="E60" s="7" t="s">
        <v>18</v>
      </c>
      <c r="F60" s="7" t="s">
        <v>341</v>
      </c>
      <c r="G60" s="7" t="s">
        <v>18</v>
      </c>
      <c r="H60" s="7" t="s">
        <v>18</v>
      </c>
      <c r="I60" s="7" t="s">
        <v>18</v>
      </c>
      <c r="J60" s="7" t="s">
        <v>18</v>
      </c>
      <c r="K60" s="7">
        <v>1</v>
      </c>
      <c r="L60" s="12" t="s">
        <v>342</v>
      </c>
      <c r="M60" t="s">
        <v>343</v>
      </c>
      <c r="N60"/>
      <c r="O60"/>
      <c r="P60" s="11" t="s">
        <v>344</v>
      </c>
    </row>
    <row r="61" spans="1:16" s="1" customFormat="1" ht="36">
      <c r="A61" s="8">
        <f t="shared" si="0"/>
        <v>60</v>
      </c>
      <c r="B61" s="6" t="s">
        <v>328</v>
      </c>
      <c r="C61" s="7" t="s">
        <v>345</v>
      </c>
      <c r="D61" s="7" t="s">
        <v>18</v>
      </c>
      <c r="E61" s="7" t="s">
        <v>18</v>
      </c>
      <c r="F61" s="7" t="s">
        <v>346</v>
      </c>
      <c r="G61" s="7" t="s">
        <v>18</v>
      </c>
      <c r="H61" s="7" t="s">
        <v>18</v>
      </c>
      <c r="I61" s="7" t="s">
        <v>18</v>
      </c>
      <c r="J61" s="7" t="s">
        <v>18</v>
      </c>
      <c r="K61" s="7">
        <v>1</v>
      </c>
      <c r="L61" s="12" t="s">
        <v>342</v>
      </c>
      <c r="M61" t="s">
        <v>347</v>
      </c>
      <c r="N61"/>
      <c r="O61"/>
      <c r="P61" s="11" t="s">
        <v>344</v>
      </c>
    </row>
    <row r="62" spans="1:16" s="1" customFormat="1">
      <c r="A62" s="8">
        <f t="shared" si="0"/>
        <v>61</v>
      </c>
      <c r="B62" s="6" t="s">
        <v>328</v>
      </c>
      <c r="C62" s="7" t="s">
        <v>348</v>
      </c>
      <c r="D62" s="7" t="s">
        <v>349</v>
      </c>
      <c r="E62" s="7" t="s">
        <v>18</v>
      </c>
      <c r="F62" s="7" t="s">
        <v>350</v>
      </c>
      <c r="G62" s="7" t="s">
        <v>351</v>
      </c>
      <c r="H62" s="7" t="s">
        <v>18</v>
      </c>
      <c r="I62" s="7" t="s">
        <v>18</v>
      </c>
      <c r="J62" s="7" t="s">
        <v>18</v>
      </c>
      <c r="K62" s="7">
        <v>3</v>
      </c>
      <c r="L62" s="12" t="s">
        <v>332</v>
      </c>
      <c r="M62" s="14" t="s">
        <v>352</v>
      </c>
      <c r="N62" t="str">
        <f>_xlfn.DISPIMG("ID_BB0CD34240FA4B9E80B398A6120AE477",1)</f>
        <v>=DISPIMG("ID_BB0CD34240FA4B9E80B398A6120AE477",1)</v>
      </c>
      <c r="O62"/>
      <c r="P62" s="11" t="s">
        <v>334</v>
      </c>
    </row>
    <row r="63" spans="1:16" s="1" customFormat="1" ht="24">
      <c r="A63" s="8">
        <f t="shared" si="0"/>
        <v>62</v>
      </c>
      <c r="B63" s="6" t="s">
        <v>328</v>
      </c>
      <c r="C63" s="7" t="s">
        <v>353</v>
      </c>
      <c r="D63" s="7" t="s">
        <v>354</v>
      </c>
      <c r="E63" s="7" t="s">
        <v>18</v>
      </c>
      <c r="F63" s="7" t="s">
        <v>355</v>
      </c>
      <c r="G63" s="7" t="s">
        <v>356</v>
      </c>
      <c r="H63" s="7" t="s">
        <v>18</v>
      </c>
      <c r="I63" s="7" t="s">
        <v>18</v>
      </c>
      <c r="J63" s="7" t="s">
        <v>18</v>
      </c>
      <c r="K63" s="7">
        <v>1</v>
      </c>
      <c r="L63" s="15"/>
      <c r="M63"/>
      <c r="N63"/>
      <c r="O63"/>
      <c r="P63" s="11"/>
    </row>
    <row r="64" spans="1:16" s="1" customFormat="1">
      <c r="A64" s="8">
        <f t="shared" si="0"/>
        <v>63</v>
      </c>
      <c r="B64" s="6" t="s">
        <v>328</v>
      </c>
      <c r="C64" s="7" t="s">
        <v>357</v>
      </c>
      <c r="D64" s="7"/>
      <c r="E64" s="7"/>
      <c r="F64" s="7"/>
      <c r="G64" s="7"/>
      <c r="H64" s="7"/>
      <c r="I64" s="7"/>
      <c r="J64" s="7"/>
      <c r="K64" s="7"/>
      <c r="L64" s="15"/>
      <c r="M64" s="16" t="s">
        <v>358</v>
      </c>
      <c r="P64" s="11"/>
    </row>
    <row r="65" spans="1:17" s="1" customFormat="1" ht="92.1" customHeight="1">
      <c r="A65" s="5">
        <f t="shared" si="0"/>
        <v>64</v>
      </c>
      <c r="B65" s="6" t="s">
        <v>328</v>
      </c>
      <c r="C65" s="7" t="s">
        <v>359</v>
      </c>
      <c r="D65" s="7" t="s">
        <v>18</v>
      </c>
      <c r="E65" s="7" t="s">
        <v>18</v>
      </c>
      <c r="F65" s="7" t="s">
        <v>360</v>
      </c>
      <c r="G65" s="7" t="s">
        <v>361</v>
      </c>
      <c r="H65" s="7" t="s">
        <v>18</v>
      </c>
      <c r="I65" s="7" t="s">
        <v>18</v>
      </c>
      <c r="J65" s="7" t="s">
        <v>18</v>
      </c>
      <c r="K65" s="7">
        <v>1</v>
      </c>
      <c r="L65" s="18" t="s">
        <v>362</v>
      </c>
      <c r="M65" s="14" t="s">
        <v>363</v>
      </c>
      <c r="P65" s="19" t="s">
        <v>334</v>
      </c>
      <c r="Q65" s="20" t="s">
        <v>364</v>
      </c>
    </row>
    <row r="66" spans="1:17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</row>
    <row r="67" spans="1:1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</row>
    <row r="68" spans="1:17">
      <c r="I68" s="17"/>
    </row>
  </sheetData>
  <hyperlinks>
    <hyperlink ref="L61" r:id="rId1"/>
    <hyperlink ref="L60" r:id="rId2"/>
    <hyperlink ref="L65" r:id="rId3"/>
    <hyperlink ref="L62" r:id="rId4"/>
    <hyperlink ref="L59" r:id="rId5"/>
    <hyperlink ref="L58" r:id="rId6"/>
    <hyperlink ref="L57" r:id="rId7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Faizan</cp:lastModifiedBy>
  <dcterms:created xsi:type="dcterms:W3CDTF">2019-12-12T10:34:00Z</dcterms:created>
  <dcterms:modified xsi:type="dcterms:W3CDTF">2024-08-07T15:52:44Z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97D42ECE2F0241EFAC0A05E1583DE67E_12</vt:lpwstr>
  </property>
  <property fmtid="{D5CDD505-2E9C-101B-9397-08002B2CF9AE}" pid="3" name="KSOProductBuildVer">
    <vt:lpwstr>2052-12.1.0.17147</vt:lpwstr>
  </property>
  <property fmtid="{D5CDD505-2E9C-101B-9397-08002B2CF9AE}" pid="4" name="KSOReadingLayout">
    <vt:bool>true</vt:bool>
  </property>
</Properties>
</file>